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ugra Senel\Desktop\Merkez Ulupınar  131-16\"/>
    </mc:Choice>
  </mc:AlternateContent>
  <xr:revisionPtr revIDLastSave="0" documentId="13_ncr:1_{6D976B41-C894-47A1-B099-44F986CF8F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F9" i="1"/>
  <c r="E9" i="1"/>
  <c r="D9" i="1"/>
  <c r="C9" i="1"/>
  <c r="E8" i="1"/>
  <c r="D8" i="1"/>
  <c r="C8" i="1"/>
  <c r="F7" i="1"/>
  <c r="E7" i="1"/>
  <c r="D7" i="1"/>
  <c r="C7" i="1"/>
  <c r="F6" i="1"/>
  <c r="E6" i="1"/>
  <c r="D6" i="1"/>
  <c r="C6" i="1"/>
</calcChain>
</file>

<file path=xl/sharedStrings.xml><?xml version="1.0" encoding="utf-8"?>
<sst xmlns="http://schemas.openxmlformats.org/spreadsheetml/2006/main" count="34" uniqueCount="34">
  <si>
    <t>UB ZEMİN</t>
  </si>
  <si>
    <t>S İ S M İ K   Ç A L I Ş M A   T A B L O S U</t>
  </si>
  <si>
    <t>Sismik Ölçü ve Hesaplarının Sahibi   :</t>
  </si>
  <si>
    <t>Serim 1</t>
  </si>
  <si>
    <t>Zemin Parametreleri</t>
  </si>
  <si>
    <t>Simge</t>
  </si>
  <si>
    <t>TABAKA  NO</t>
  </si>
  <si>
    <t>Birim</t>
  </si>
  <si>
    <t>I</t>
  </si>
  <si>
    <t>II</t>
  </si>
  <si>
    <t>III</t>
  </si>
  <si>
    <t>IV</t>
  </si>
  <si>
    <r>
      <t>V</t>
    </r>
    <r>
      <rPr>
        <b/>
        <vertAlign val="subscript"/>
        <sz val="9"/>
        <rFont val="Times New Roman"/>
        <family val="1"/>
        <charset val="162"/>
      </rPr>
      <t>P</t>
    </r>
    <r>
      <rPr>
        <b/>
        <sz val="9"/>
        <rFont val="Times New Roman"/>
        <family val="1"/>
        <charset val="162"/>
      </rPr>
      <t xml:space="preserve"> = Boyuna Dalga Hızı </t>
    </r>
    <r>
      <rPr>
        <sz val="9"/>
        <rFont val="Times New Roman"/>
        <family val="1"/>
        <charset val="162"/>
      </rPr>
      <t>(Sıkışma Dalgası Hızı)</t>
    </r>
  </si>
  <si>
    <r>
      <t>V</t>
    </r>
    <r>
      <rPr>
        <vertAlign val="subscript"/>
        <sz val="9"/>
        <color rgb="FF0080C0"/>
        <rFont val="Times New Roman"/>
        <family val="1"/>
        <charset val="162"/>
      </rPr>
      <t>P</t>
    </r>
    <r>
      <rPr>
        <sz val="9"/>
        <color rgb="FF0080C0"/>
        <rFont val="Times New Roman"/>
        <family val="1"/>
        <charset val="162"/>
      </rPr>
      <t xml:space="preserve"> (m/sn)</t>
    </r>
  </si>
  <si>
    <r>
      <t>V</t>
    </r>
    <r>
      <rPr>
        <b/>
        <vertAlign val="subscript"/>
        <sz val="9"/>
        <rFont val="Times New Roman"/>
        <family val="1"/>
        <charset val="162"/>
      </rPr>
      <t>S</t>
    </r>
    <r>
      <rPr>
        <b/>
        <sz val="9"/>
        <rFont val="Times New Roman"/>
        <family val="1"/>
        <charset val="162"/>
      </rPr>
      <t xml:space="preserve"> = Enine Dalga Hızı </t>
    </r>
    <r>
      <rPr>
        <sz val="9"/>
        <rFont val="Times New Roman"/>
        <family val="1"/>
        <charset val="162"/>
      </rPr>
      <t>(Kayma Dalgası Hızı)</t>
    </r>
  </si>
  <si>
    <r>
      <t>V</t>
    </r>
    <r>
      <rPr>
        <vertAlign val="subscript"/>
        <sz val="9"/>
        <color rgb="FF0080C0"/>
        <rFont val="Times New Roman"/>
        <family val="1"/>
        <charset val="162"/>
      </rPr>
      <t>S</t>
    </r>
    <r>
      <rPr>
        <sz val="9"/>
        <color rgb="FF0080C0"/>
        <rFont val="Times New Roman"/>
        <family val="1"/>
        <charset val="162"/>
      </rPr>
      <t xml:space="preserve"> (m/sn)</t>
    </r>
  </si>
  <si>
    <t>Tabaka Kalınlığı</t>
  </si>
  <si>
    <t>metre</t>
  </si>
  <si>
    <t>Tabaka Yoğunluğu</t>
  </si>
  <si>
    <r>
      <t>γ (gr/cm</t>
    </r>
    <r>
      <rPr>
        <vertAlign val="superscript"/>
        <sz val="9"/>
        <color rgb="FF0080C0"/>
        <rFont val="Times New Roman"/>
        <family val="1"/>
        <charset val="162"/>
      </rPr>
      <t>3</t>
    </r>
    <r>
      <rPr>
        <sz val="9"/>
        <color rgb="FF0080C0"/>
        <rFont val="Times New Roman"/>
        <family val="1"/>
        <charset val="162"/>
      </rPr>
      <t>)</t>
    </r>
  </si>
  <si>
    <r>
      <t xml:space="preserve">Poisson Oranı </t>
    </r>
    <r>
      <rPr>
        <sz val="9"/>
        <rFont val="Times New Roman"/>
        <family val="1"/>
        <charset val="162"/>
      </rPr>
      <t>(Gözeneklilik Oranı)</t>
    </r>
    <r>
      <rPr>
        <b/>
        <sz val="9"/>
        <rFont val="Times New Roman"/>
        <family val="1"/>
        <charset val="162"/>
      </rPr>
      <t xml:space="preserve"> ( P )</t>
    </r>
  </si>
  <si>
    <t>Birimsiz</t>
  </si>
  <si>
    <r>
      <t xml:space="preserve">Elastisite </t>
    </r>
    <r>
      <rPr>
        <sz val="9"/>
        <rFont val="Times New Roman"/>
        <family val="1"/>
        <charset val="162"/>
      </rPr>
      <t>(Young)</t>
    </r>
    <r>
      <rPr>
        <b/>
        <sz val="9"/>
        <rFont val="Times New Roman"/>
        <family val="1"/>
        <charset val="162"/>
      </rPr>
      <t xml:space="preserve"> Modülü </t>
    </r>
    <r>
      <rPr>
        <sz val="9"/>
        <rFont val="Times New Roman"/>
        <family val="1"/>
        <charset val="162"/>
      </rPr>
      <t>(Çimentolaşma, Dayanıklılık)</t>
    </r>
  </si>
  <si>
    <r>
      <t>E</t>
    </r>
    <r>
      <rPr>
        <vertAlign val="subscript"/>
        <sz val="9"/>
        <color rgb="FF0080C0"/>
        <rFont val="Times New Roman"/>
        <family val="1"/>
        <charset val="162"/>
      </rPr>
      <t>D</t>
    </r>
    <r>
      <rPr>
        <sz val="9"/>
        <color rgb="FF0080C0"/>
        <rFont val="Times New Roman"/>
        <family val="1"/>
        <charset val="162"/>
      </rPr>
      <t xml:space="preserve"> (kg/cm</t>
    </r>
    <r>
      <rPr>
        <vertAlign val="superscript"/>
        <sz val="9"/>
        <color rgb="FF0080C0"/>
        <rFont val="Times New Roman"/>
        <family val="1"/>
        <charset val="162"/>
      </rPr>
      <t>2</t>
    </r>
    <r>
      <rPr>
        <sz val="9"/>
        <color rgb="FF0080C0"/>
        <rFont val="Times New Roman"/>
        <family val="1"/>
        <charset val="162"/>
      </rPr>
      <t>)</t>
    </r>
  </si>
  <si>
    <r>
      <t xml:space="preserve">Bulk </t>
    </r>
    <r>
      <rPr>
        <sz val="9"/>
        <rFont val="Times New Roman"/>
        <family val="1"/>
        <charset val="162"/>
      </rPr>
      <t>(Sıkışmazlık)</t>
    </r>
    <r>
      <rPr>
        <b/>
        <sz val="9"/>
        <rFont val="Times New Roman"/>
        <family val="1"/>
        <charset val="162"/>
      </rPr>
      <t xml:space="preserve"> Modülü </t>
    </r>
    <r>
      <rPr>
        <sz val="9"/>
        <rFont val="Times New Roman"/>
        <family val="1"/>
        <charset val="162"/>
      </rPr>
      <t>(İncompressibility)</t>
    </r>
    <r>
      <rPr>
        <b/>
        <sz val="9"/>
        <rFont val="Times New Roman"/>
        <family val="1"/>
        <charset val="162"/>
      </rPr>
      <t xml:space="preserve"> (k)</t>
    </r>
  </si>
  <si>
    <r>
      <t>Mc (kg/cm</t>
    </r>
    <r>
      <rPr>
        <vertAlign val="superscript"/>
        <sz val="9"/>
        <color rgb="FF0080C0"/>
        <rFont val="Times New Roman"/>
        <family val="1"/>
        <charset val="162"/>
      </rPr>
      <t>2</t>
    </r>
    <r>
      <rPr>
        <sz val="9"/>
        <color rgb="FF0080C0"/>
        <rFont val="Times New Roman"/>
        <family val="1"/>
        <charset val="162"/>
      </rPr>
      <t>)</t>
    </r>
  </si>
  <si>
    <r>
      <t xml:space="preserve">Maksimum Kayma Modülü </t>
    </r>
    <r>
      <rPr>
        <sz val="9"/>
        <rFont val="Times New Roman"/>
        <family val="1"/>
        <charset val="162"/>
      </rPr>
      <t xml:space="preserve">(SHEAR) </t>
    </r>
    <r>
      <rPr>
        <b/>
        <sz val="9"/>
        <rFont val="Times New Roman"/>
        <family val="1"/>
        <charset val="162"/>
      </rPr>
      <t>(G</t>
    </r>
    <r>
      <rPr>
        <b/>
        <vertAlign val="subscript"/>
        <sz val="9"/>
        <rFont val="Times New Roman"/>
        <family val="1"/>
        <charset val="162"/>
      </rPr>
      <t>max.</t>
    </r>
    <r>
      <rPr>
        <b/>
        <sz val="9"/>
        <rFont val="Times New Roman"/>
        <family val="1"/>
        <charset val="162"/>
      </rPr>
      <t>)</t>
    </r>
  </si>
  <si>
    <r>
      <t>G</t>
    </r>
    <r>
      <rPr>
        <vertAlign val="subscript"/>
        <sz val="9"/>
        <color rgb="FF0080C0"/>
        <rFont val="Times New Roman"/>
        <family val="1"/>
        <charset val="162"/>
      </rPr>
      <t>max</t>
    </r>
    <r>
      <rPr>
        <sz val="9"/>
        <color rgb="FF0080C0"/>
        <rFont val="Times New Roman"/>
        <family val="1"/>
        <charset val="162"/>
      </rPr>
      <t>(kg/cm</t>
    </r>
    <r>
      <rPr>
        <vertAlign val="superscript"/>
        <sz val="9"/>
        <color rgb="FF0080C0"/>
        <rFont val="Times New Roman"/>
        <family val="1"/>
        <charset val="162"/>
      </rPr>
      <t>2</t>
    </r>
    <r>
      <rPr>
        <sz val="9"/>
        <color rgb="FF0080C0"/>
        <rFont val="Times New Roman"/>
        <family val="1"/>
        <charset val="162"/>
      </rPr>
      <t>)</t>
    </r>
  </si>
  <si>
    <r>
      <t>Zemin Büyütme</t>
    </r>
    <r>
      <rPr>
        <sz val="9"/>
        <rFont val="Times New Roman"/>
        <family val="1"/>
        <charset val="162"/>
      </rPr>
      <t xml:space="preserve"> (Deprem Şiddet Artış) </t>
    </r>
    <r>
      <rPr>
        <b/>
        <sz val="9"/>
        <rFont val="Times New Roman"/>
        <family val="1"/>
        <charset val="162"/>
      </rPr>
      <t xml:space="preserve">Katsayısı </t>
    </r>
  </si>
  <si>
    <t>b</t>
  </si>
  <si>
    <t>Sismik Hız Oranı</t>
  </si>
  <si>
    <t>Vp/Vs</t>
  </si>
  <si>
    <t>Vs30 = 30m derinliğe kadar ortalama kayma dalgası hızı</t>
  </si>
  <si>
    <r>
      <t>Vs30</t>
    </r>
    <r>
      <rPr>
        <sz val="9"/>
        <color rgb="FF0080C0"/>
        <rFont val="Times New Roman"/>
        <family val="1"/>
        <charset val="162"/>
      </rPr>
      <t>(m/sn)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</si>
</sst>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  <family val="1"/>
      <charset val="162"/>
    </font>
    <font>
      <sz val="9"/>
      <color rgb="FF1F497D"/>
      <name val="Times New Roman"/>
      <family val="1"/>
      <charset val="162"/>
    </font>
    <font>
      <b/>
      <sz val="9"/>
      <name val="Times New Roman"/>
      <family val="1"/>
      <charset val="162"/>
    </font>
    <font>
      <sz val="9"/>
      <color rgb="FFFF0000"/>
      <name val="Times New Roman"/>
      <family val="1"/>
      <charset val="162"/>
    </font>
    <font>
      <sz val="9"/>
      <name val="Times New Roman"/>
      <family val="1"/>
      <charset val="162"/>
    </font>
    <font>
      <b/>
      <vertAlign val="subscript"/>
      <sz val="9"/>
      <name val="Times New Roman"/>
      <family val="1"/>
      <charset val="162"/>
    </font>
    <font>
      <sz val="9"/>
      <color rgb="FF0070C0"/>
      <name val="Times New Roman"/>
      <family val="1"/>
      <charset val="162"/>
    </font>
    <font>
      <vertAlign val="subscript"/>
      <sz val="9"/>
      <color rgb="FF0080C0"/>
      <name val="Times New Roman"/>
      <family val="1"/>
      <charset val="162"/>
    </font>
    <font>
      <sz val="9"/>
      <color rgb="FF0080C0"/>
      <name val="Times New Roman"/>
      <family val="1"/>
      <charset val="162"/>
    </font>
    <font>
      <sz val="11"/>
      <color rgb="FFFF0000"/>
      <name val="Times New Roman"/>
      <family val="1"/>
      <charset val="162"/>
    </font>
    <font>
      <vertAlign val="superscript"/>
      <sz val="9"/>
      <color rgb="FF0080C0"/>
      <name val="Times New Roman"/>
      <family val="1"/>
      <charset val="162"/>
    </font>
    <font>
      <sz val="11"/>
      <name val="Times New Roman"/>
      <family val="1"/>
      <charset val="162"/>
    </font>
  </fonts>
  <fills count="5">
    <fill>
      <patternFill patternType="none"/>
    </fill>
    <fill>
      <patternFill patternType="gray125"/>
    </fill>
    <fill>
      <patternFill patternType="solid">
        <fgColor rgb="FF538DD5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justify" vertical="center"/>
    </xf>
    <xf numFmtId="0" fontId="7" fillId="0" borderId="4" xfId="0" applyFont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justify" vertical="center"/>
    </xf>
    <xf numFmtId="2" fontId="12" fillId="4" borderId="4" xfId="0" applyNumberFormat="1" applyFont="1" applyFill="1" applyBorder="1" applyAlignment="1">
      <alignment horizontal="center" vertical="center"/>
    </xf>
    <xf numFmtId="1" fontId="12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justify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/>
    </xf>
    <xf numFmtId="0" fontId="4" fillId="0" borderId="2" xfId="0" applyFont="1" applyBorder="1" applyAlignment="1">
      <alignment horizontal="justify" vertical="center"/>
    </xf>
    <xf numFmtId="0" fontId="4" fillId="0" borderId="3" xfId="0" applyFont="1" applyBorder="1" applyAlignment="1">
      <alignment horizontal="justify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ugra%20Senel\Desktop\Merkez%20Ulup&#305;nar%20%20131-16\JEOF&#304;Z&#304;K\Sis.Hes.xlsx" TargetMode="External"/><Relationship Id="rId1" Type="http://schemas.openxmlformats.org/officeDocument/2006/relationships/externalLinkPath" Target="JEOF&#304;Z&#304;K/Sis.H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rim1"/>
      <sheetName val="Serim2"/>
      <sheetName val="Serim3"/>
      <sheetName val="Serim4"/>
      <sheetName val="Serim5"/>
      <sheetName val="Serim6"/>
      <sheetName val="Elastik Sınıflama"/>
      <sheetName val="FayBoyu-Magnitüd ve İvme"/>
      <sheetName val="Kıvamlılık"/>
      <sheetName val="Sayfa1"/>
    </sheetNames>
    <sheetDataSet>
      <sheetData sheetId="0">
        <row r="7">
          <cell r="F7">
            <v>541</v>
          </cell>
          <cell r="H7">
            <v>541</v>
          </cell>
          <cell r="J7">
            <v>1459</v>
          </cell>
          <cell r="L7">
            <v>1459</v>
          </cell>
        </row>
        <row r="8">
          <cell r="F8">
            <v>200</v>
          </cell>
          <cell r="H8">
            <v>349</v>
          </cell>
          <cell r="J8">
            <v>349</v>
          </cell>
          <cell r="L8">
            <v>555</v>
          </cell>
        </row>
        <row r="10">
          <cell r="F10">
            <v>1.5</v>
          </cell>
          <cell r="H10">
            <v>3.5</v>
          </cell>
          <cell r="J10">
            <v>5.6</v>
          </cell>
        </row>
        <row r="12">
          <cell r="F12">
            <v>1.4927793310444009</v>
          </cell>
          <cell r="H12">
            <v>1.4927793310444009</v>
          </cell>
          <cell r="J12">
            <v>1.9129786361420968</v>
          </cell>
          <cell r="L12">
            <v>1.9129786361420968</v>
          </cell>
        </row>
        <row r="21">
          <cell r="F21">
            <v>0.42084881728345225</v>
          </cell>
          <cell r="H21">
            <v>0.1436066245318352</v>
          </cell>
          <cell r="J21">
            <v>0.46965413975922826</v>
          </cell>
          <cell r="L21">
            <v>0.41556770120323822</v>
          </cell>
        </row>
        <row r="22">
          <cell r="F22">
            <v>1696.810997583696</v>
          </cell>
          <cell r="H22">
            <v>4158.6572236685033</v>
          </cell>
          <cell r="J22">
            <v>6848.6679718322848</v>
          </cell>
          <cell r="L22">
            <v>16655.426131411121</v>
          </cell>
        </row>
        <row r="24">
          <cell r="F24">
            <v>3572.9324973370494</v>
          </cell>
          <cell r="H24">
            <v>1944.7879365535423</v>
          </cell>
          <cell r="J24">
            <v>37614.509950139371</v>
          </cell>
          <cell r="L24">
            <v>32877.280315642063</v>
          </cell>
        </row>
        <row r="28">
          <cell r="F28">
            <v>597.11173241776032</v>
          </cell>
          <cell r="H28">
            <v>1818.2201530053906</v>
          </cell>
          <cell r="J28">
            <v>2330.0271086074354</v>
          </cell>
          <cell r="L28">
            <v>5882.9493344804141</v>
          </cell>
        </row>
        <row r="29">
          <cell r="F29">
            <v>2.5394180081380608</v>
          </cell>
          <cell r="H29">
            <v>2.1356196378750791</v>
          </cell>
          <cell r="J29">
            <v>1.9557364116915554</v>
          </cell>
          <cell r="L29">
            <v>1.6198709095451425</v>
          </cell>
        </row>
        <row r="38">
          <cell r="F38">
            <v>2.7050000000000001</v>
          </cell>
          <cell r="H38">
            <v>1.5501432664756447</v>
          </cell>
          <cell r="J38">
            <v>4.1805157593123212</v>
          </cell>
          <cell r="L38">
            <v>2.6309512308883476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F9" sqref="F9"/>
    </sheetView>
  </sheetViews>
  <sheetFormatPr defaultRowHeight="14.4" x14ac:dyDescent="0.3"/>
  <sheetData>
    <row r="1" spans="1:6" x14ac:dyDescent="0.3">
      <c r="A1" s="11" t="s">
        <v>0</v>
      </c>
      <c r="B1" s="12"/>
      <c r="C1" s="12"/>
      <c r="D1" s="12"/>
      <c r="E1" s="12"/>
      <c r="F1" s="13"/>
    </row>
    <row r="2" spans="1:6" x14ac:dyDescent="0.3">
      <c r="A2" s="14" t="s">
        <v>1</v>
      </c>
      <c r="B2" s="15"/>
      <c r="C2" s="15"/>
      <c r="D2" s="15"/>
      <c r="E2" s="15"/>
      <c r="F2" s="16"/>
    </row>
    <row r="3" spans="1:6" x14ac:dyDescent="0.3">
      <c r="A3" s="1" t="s">
        <v>2</v>
      </c>
      <c r="B3" s="17" t="s">
        <v>3</v>
      </c>
      <c r="C3" s="18"/>
      <c r="D3" s="18"/>
      <c r="E3" s="18"/>
      <c r="F3" s="19"/>
    </row>
    <row r="4" spans="1:6" x14ac:dyDescent="0.3">
      <c r="A4" s="20" t="s">
        <v>4</v>
      </c>
      <c r="B4" s="2" t="s">
        <v>5</v>
      </c>
      <c r="C4" s="22" t="s">
        <v>6</v>
      </c>
      <c r="D4" s="23"/>
      <c r="E4" s="23"/>
      <c r="F4" s="24"/>
    </row>
    <row r="5" spans="1:6" x14ac:dyDescent="0.3">
      <c r="A5" s="21"/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</row>
    <row r="6" spans="1:6" ht="72.599999999999994" x14ac:dyDescent="0.3">
      <c r="A6" s="4" t="s">
        <v>12</v>
      </c>
      <c r="B6" s="5" t="s">
        <v>13</v>
      </c>
      <c r="C6" s="6">
        <f>IF([1]Serim1!F$7="","",[1]Serim1!F$7)</f>
        <v>541</v>
      </c>
      <c r="D6" s="6">
        <f>IF([1]Serim1!H$7="","",[1]Serim1!H$7)</f>
        <v>541</v>
      </c>
      <c r="E6" s="6">
        <f>IF([1]Serim1!J$7="","",[1]Serim1!J$7)</f>
        <v>1459</v>
      </c>
      <c r="F6" s="6">
        <f>IF([1]Serim1!L$7="","",[1]Serim1!L$7)</f>
        <v>1459</v>
      </c>
    </row>
    <row r="7" spans="1:6" ht="61.2" x14ac:dyDescent="0.3">
      <c r="A7" s="4" t="s">
        <v>14</v>
      </c>
      <c r="B7" s="5" t="s">
        <v>15</v>
      </c>
      <c r="C7" s="6">
        <f>IF([1]Serim1!F$8="","",[1]Serim1!F$8)</f>
        <v>200</v>
      </c>
      <c r="D7" s="6">
        <f>IF([1]Serim1!H$8="","",[1]Serim1!H$8)</f>
        <v>349</v>
      </c>
      <c r="E7" s="6">
        <f>IF([1]Serim1!J$8="","",[1]Serim1!J$8)</f>
        <v>349</v>
      </c>
      <c r="F7" s="6">
        <f>IF([1]Serim1!L$8="","",[1]Serim1!L$8)</f>
        <v>555</v>
      </c>
    </row>
    <row r="8" spans="1:6" ht="22.8" x14ac:dyDescent="0.3">
      <c r="A8" s="4" t="s">
        <v>16</v>
      </c>
      <c r="B8" s="5" t="s">
        <v>17</v>
      </c>
      <c r="C8" s="6">
        <f>IF([1]Serim1!F$10="","",[1]Serim1!F$10)</f>
        <v>1.5</v>
      </c>
      <c r="D8" s="6">
        <f>IF([1]Serim1!H$10="","",[1]Serim1!H$10)</f>
        <v>3.5</v>
      </c>
      <c r="E8" s="6">
        <f>IF([1]Serim1!J$10="","",[1]Serim1!J$10)</f>
        <v>5.6</v>
      </c>
      <c r="F8" s="6"/>
    </row>
    <row r="9" spans="1:6" ht="22.8" x14ac:dyDescent="0.3">
      <c r="A9" s="7" t="s">
        <v>18</v>
      </c>
      <c r="B9" s="5" t="s">
        <v>19</v>
      </c>
      <c r="C9" s="8">
        <f>IF([1]Serim1!F$12="","",[1]Serim1!F$12)</f>
        <v>1.4927793310444009</v>
      </c>
      <c r="D9" s="8">
        <f>IF([1]Serim1!H$12="","",[1]Serim1!H$12)</f>
        <v>1.4927793310444009</v>
      </c>
      <c r="E9" s="8">
        <f>IF([1]Serim1!J$12="","",[1]Serim1!J$12)</f>
        <v>1.9129786361420968</v>
      </c>
      <c r="F9" s="8">
        <f>IF([1]Serim1!L$12="","",[1]Serim1!L$12)</f>
        <v>1.9129786361420968</v>
      </c>
    </row>
    <row r="10" spans="1:6" ht="58.2" x14ac:dyDescent="0.3">
      <c r="A10" s="7" t="s">
        <v>20</v>
      </c>
      <c r="B10" s="5" t="s">
        <v>21</v>
      </c>
      <c r="C10" s="8">
        <f>IF([1]Serim1!F$21="","",[1]Serim1!F$21)</f>
        <v>0.42084881728345225</v>
      </c>
      <c r="D10" s="8">
        <f>IF([1]Serim1!H$21="","",[1]Serim1!H$21)</f>
        <v>0.1436066245318352</v>
      </c>
      <c r="E10" s="8">
        <f>IF([1]Serim1!J$21="","",[1]Serim1!J$21)</f>
        <v>0.46965413975922826</v>
      </c>
      <c r="F10" s="8">
        <f>IF([1]Serim1!L$21="","",[1]Serim1!L$21)</f>
        <v>0.41556770120323822</v>
      </c>
    </row>
    <row r="11" spans="1:6" ht="70.8" x14ac:dyDescent="0.3">
      <c r="A11" s="7" t="s">
        <v>22</v>
      </c>
      <c r="B11" s="5" t="s">
        <v>23</v>
      </c>
      <c r="C11" s="9">
        <f>IF([1]Serim1!F$22="","",[1]Serim1!F$22)</f>
        <v>1696.810997583696</v>
      </c>
      <c r="D11" s="9">
        <f>IF([1]Serim1!H$22="","",[1]Serim1!H$22)</f>
        <v>4158.6572236685033</v>
      </c>
      <c r="E11" s="9">
        <f>IF([1]Serim1!J$22="","",[1]Serim1!J$22)</f>
        <v>6848.6679718322848</v>
      </c>
      <c r="F11" s="8">
        <f>IF([1]Serim1!L$22="","",[1]Serim1!L$22)</f>
        <v>16655.426131411121</v>
      </c>
    </row>
    <row r="12" spans="1:6" ht="59.4" x14ac:dyDescent="0.3">
      <c r="A12" s="7" t="s">
        <v>24</v>
      </c>
      <c r="B12" s="5" t="s">
        <v>25</v>
      </c>
      <c r="C12" s="9">
        <f>IF([1]Serim1!F$24="","",[1]Serim1!F$24)</f>
        <v>3572.9324973370494</v>
      </c>
      <c r="D12" s="9">
        <f>IF([1]Serim1!H$24="","",[1]Serim1!H$24)</f>
        <v>1944.7879365535423</v>
      </c>
      <c r="E12" s="9">
        <f>IF([1]Serim1!J$24="","",[1]Serim1!J$24)</f>
        <v>37614.509950139371</v>
      </c>
      <c r="F12" s="8">
        <f>IF([1]Serim1!L$24="","",[1]Serim1!L$24)</f>
        <v>32877.280315642063</v>
      </c>
    </row>
    <row r="13" spans="1:6" ht="60" x14ac:dyDescent="0.3">
      <c r="A13" s="7" t="s">
        <v>26</v>
      </c>
      <c r="B13" s="5" t="s">
        <v>27</v>
      </c>
      <c r="C13" s="9">
        <f>IF([1]Serim1!F$28="","",[1]Serim1!F$28)</f>
        <v>597.11173241776032</v>
      </c>
      <c r="D13" s="9">
        <f>IF([1]Serim1!H$28="","",[1]Serim1!H$28)</f>
        <v>1818.2201530053906</v>
      </c>
      <c r="E13" s="9">
        <f>IF([1]Serim1!J$28="","",[1]Serim1!J$28)</f>
        <v>2330.0271086074354</v>
      </c>
      <c r="F13" s="8">
        <f>IF([1]Serim1!L$28="","",[1]Serim1!L$28)</f>
        <v>5882.9493344804141</v>
      </c>
    </row>
    <row r="14" spans="1:6" ht="70.8" x14ac:dyDescent="0.3">
      <c r="A14" s="7" t="s">
        <v>28</v>
      </c>
      <c r="B14" s="5" t="s">
        <v>29</v>
      </c>
      <c r="C14" s="8">
        <f>IF([1]Serim1!F$29="","",[1]Serim1!F$29)</f>
        <v>2.5394180081380608</v>
      </c>
      <c r="D14" s="8">
        <f>IF([1]Serim1!H$29="","",[1]Serim1!H$29)</f>
        <v>2.1356196378750791</v>
      </c>
      <c r="E14" s="8">
        <f>IF([1]Serim1!J$29="","",[1]Serim1!J$29)</f>
        <v>1.9557364116915554</v>
      </c>
      <c r="F14" s="8">
        <f>IF([1]Serim1!L$29="","",[1]Serim1!L$29)</f>
        <v>1.6198709095451425</v>
      </c>
    </row>
    <row r="15" spans="1:6" ht="22.8" x14ac:dyDescent="0.3">
      <c r="A15" s="10" t="s">
        <v>30</v>
      </c>
      <c r="B15" s="5" t="s">
        <v>31</v>
      </c>
      <c r="C15" s="8">
        <f>IF([1]Serim1!F$38="","",[1]Serim1!F$38)</f>
        <v>2.7050000000000001</v>
      </c>
      <c r="D15" s="8">
        <f>IF([1]Serim1!H$38="","",[1]Serim1!H$38)</f>
        <v>1.5501432664756447</v>
      </c>
      <c r="E15" s="8">
        <f>IF([1]Serim1!J$38="","",[1]Serim1!J$38)</f>
        <v>4.1805157593123212</v>
      </c>
      <c r="F15" s="8">
        <f>IF([1]Serim1!L$38="","",[1]Serim1!L$38)</f>
        <v>2.6309512308883476</v>
      </c>
    </row>
    <row r="16" spans="1:6" ht="79.8" x14ac:dyDescent="0.3">
      <c r="A16" s="7" t="s">
        <v>32</v>
      </c>
      <c r="B16" s="5" t="s">
        <v>33</v>
      </c>
      <c r="C16" s="25">
        <v>438</v>
      </c>
      <c r="D16" s="26"/>
      <c r="E16" s="26"/>
      <c r="F16" s="27"/>
    </row>
  </sheetData>
  <mergeCells count="6">
    <mergeCell ref="C16:F16"/>
    <mergeCell ref="A1:F1"/>
    <mergeCell ref="A2:F2"/>
    <mergeCell ref="B3:F3"/>
    <mergeCell ref="A4:A5"/>
    <mergeCell ref="C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Bugra Senel</dc:creator>
  <cp:lastModifiedBy>Chris Green</cp:lastModifiedBy>
  <dcterms:created xsi:type="dcterms:W3CDTF">2015-06-05T18:19:34Z</dcterms:created>
  <dcterms:modified xsi:type="dcterms:W3CDTF">2026-04-13T08:27:32Z</dcterms:modified>
</cp:coreProperties>
</file>