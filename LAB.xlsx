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ugra Senel\Desktop\Çınarlı 119_7\"/>
    </mc:Choice>
  </mc:AlternateContent>
  <xr:revisionPtr revIDLastSave="0" documentId="13_ncr:1_{21F1B3B8-1672-4155-92C4-28DE91AFBB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1" i="1"/>
  <c r="F29" i="1"/>
  <c r="F28" i="1"/>
  <c r="F19" i="1"/>
  <c r="F18" i="1"/>
  <c r="F10" i="1"/>
  <c r="F8" i="1"/>
  <c r="F7" i="1"/>
  <c r="F5" i="1"/>
</calcChain>
</file>

<file path=xl/sharedStrings.xml><?xml version="1.0" encoding="utf-8"?>
<sst xmlns="http://schemas.openxmlformats.org/spreadsheetml/2006/main" count="115" uniqueCount="49">
  <si>
    <r>
      <t>Sondaj No</t>
    </r>
    <r>
      <rPr>
        <sz val="9"/>
        <rFont val="Calibri"/>
        <family val="2"/>
        <charset val="162"/>
      </rPr>
      <t xml:space="preserve">    Boring No</t>
    </r>
  </si>
  <si>
    <r>
      <t xml:space="preserve">Numune No  </t>
    </r>
    <r>
      <rPr>
        <b/>
        <sz val="10"/>
        <rFont val="Calibri"/>
        <family val="2"/>
        <charset val="162"/>
      </rPr>
      <t xml:space="preserve">                      </t>
    </r>
    <r>
      <rPr>
        <sz val="10"/>
        <rFont val="Calibri"/>
        <family val="2"/>
        <charset val="162"/>
      </rPr>
      <t xml:space="preserve">  </t>
    </r>
    <r>
      <rPr>
        <sz val="9"/>
        <rFont val="Calibri"/>
        <family val="2"/>
        <charset val="162"/>
      </rPr>
      <t>Sample No</t>
    </r>
  </si>
  <si>
    <r>
      <rPr>
        <b/>
        <sz val="11"/>
        <rFont val="Calibri"/>
        <family val="2"/>
        <charset val="162"/>
      </rPr>
      <t>Derinlik</t>
    </r>
    <r>
      <rPr>
        <sz val="11"/>
        <rFont val="Calibri"/>
        <family val="2"/>
        <charset val="162"/>
      </rPr>
      <t xml:space="preserve">
</t>
    </r>
    <r>
      <rPr>
        <b/>
        <sz val="11"/>
        <rFont val="Calibri"/>
        <family val="2"/>
        <charset val="162"/>
      </rPr>
      <t xml:space="preserve">(m)  </t>
    </r>
    <r>
      <rPr>
        <sz val="11"/>
        <rFont val="Calibri"/>
        <family val="2"/>
        <charset val="162"/>
      </rPr>
      <t xml:space="preserve">                    </t>
    </r>
    <r>
      <rPr>
        <sz val="9"/>
        <rFont val="Calibri"/>
        <family val="2"/>
        <charset val="162"/>
      </rPr>
      <t>Depth</t>
    </r>
  </si>
  <si>
    <r>
      <t xml:space="preserve">ÇAKIL / </t>
    </r>
    <r>
      <rPr>
        <sz val="9"/>
        <rFont val="Calibri"/>
        <family val="2"/>
        <charset val="162"/>
      </rPr>
      <t xml:space="preserve">Gravel </t>
    </r>
    <r>
      <rPr>
        <b/>
        <sz val="9"/>
        <rFont val="Calibri"/>
        <family val="2"/>
        <charset val="162"/>
      </rPr>
      <t xml:space="preserve"> </t>
    </r>
    <r>
      <rPr>
        <b/>
        <sz val="12"/>
        <rFont val="Calibri"/>
        <family val="2"/>
        <charset val="162"/>
      </rPr>
      <t xml:space="preserve">  </t>
    </r>
  </si>
  <si>
    <r>
      <t xml:space="preserve">KUM / </t>
    </r>
    <r>
      <rPr>
        <sz val="9"/>
        <rFont val="Calibri"/>
        <family val="2"/>
        <charset val="162"/>
      </rPr>
      <t>Sand</t>
    </r>
    <r>
      <rPr>
        <b/>
        <sz val="9"/>
        <rFont val="Calibri"/>
        <family val="2"/>
        <charset val="162"/>
      </rPr>
      <t xml:space="preserve">  </t>
    </r>
  </si>
  <si>
    <r>
      <t xml:space="preserve">SİLT / </t>
    </r>
    <r>
      <rPr>
        <sz val="9"/>
        <rFont val="Calibri"/>
        <family val="2"/>
        <charset val="162"/>
      </rPr>
      <t>Silt</t>
    </r>
    <r>
      <rPr>
        <b/>
        <sz val="9"/>
        <rFont val="Calibri"/>
        <family val="2"/>
        <charset val="162"/>
      </rPr>
      <t xml:space="preserve"> </t>
    </r>
  </si>
  <si>
    <r>
      <t xml:space="preserve">KİL / </t>
    </r>
    <r>
      <rPr>
        <sz val="9"/>
        <rFont val="Calibri"/>
        <family val="2"/>
        <charset val="162"/>
      </rPr>
      <t>Clay</t>
    </r>
  </si>
  <si>
    <r>
      <rPr>
        <b/>
        <sz val="12"/>
        <rFont val="Calibri"/>
        <family val="2"/>
        <charset val="162"/>
      </rPr>
      <t xml:space="preserve">Atterberg limitleri        </t>
    </r>
    <r>
      <rPr>
        <sz val="9"/>
        <rFont val="Calibri"/>
        <family val="2"/>
        <charset val="162"/>
      </rPr>
      <t xml:space="preserve">Atterberg Limits  </t>
    </r>
  </si>
  <si>
    <r>
      <t>W</t>
    </r>
    <r>
      <rPr>
        <b/>
        <vertAlign val="subscript"/>
        <sz val="12"/>
        <rFont val="Calibri"/>
        <family val="2"/>
        <charset val="162"/>
      </rPr>
      <t>n</t>
    </r>
  </si>
  <si>
    <r>
      <t>γ</t>
    </r>
    <r>
      <rPr>
        <b/>
        <vertAlign val="subscript"/>
        <sz val="12"/>
        <rFont val="Calibri"/>
        <family val="2"/>
        <charset val="162"/>
      </rPr>
      <t>n</t>
    </r>
  </si>
  <si>
    <r>
      <t>γ</t>
    </r>
    <r>
      <rPr>
        <b/>
        <vertAlign val="subscript"/>
        <sz val="12"/>
        <rFont val="Calibri"/>
        <family val="2"/>
        <charset val="162"/>
      </rPr>
      <t>k</t>
    </r>
  </si>
  <si>
    <r>
      <t>G</t>
    </r>
    <r>
      <rPr>
        <b/>
        <vertAlign val="subscript"/>
        <sz val="12"/>
        <rFont val="Calibri"/>
        <family val="2"/>
        <charset val="162"/>
      </rPr>
      <t>s</t>
    </r>
  </si>
  <si>
    <r>
      <t xml:space="preserve">SINIFLAMA               </t>
    </r>
    <r>
      <rPr>
        <sz val="9"/>
        <rFont val="Calibri"/>
        <family val="2"/>
        <charset val="162"/>
      </rPr>
      <t>Classification                                   (TS EN ISO 14688-2)</t>
    </r>
  </si>
  <si>
    <r>
      <t xml:space="preserve">Konsolidasyon </t>
    </r>
    <r>
      <rPr>
        <sz val="10"/>
        <rFont val="Calibri"/>
        <family val="2"/>
        <charset val="162"/>
      </rPr>
      <t xml:space="preserve">   </t>
    </r>
    <r>
      <rPr>
        <sz val="8"/>
        <rFont val="Calibri"/>
        <family val="2"/>
        <charset val="162"/>
      </rPr>
      <t>Consolidations</t>
    </r>
  </si>
  <si>
    <r>
      <t xml:space="preserve">Zeminde Üç Eks.Sıkışma          </t>
    </r>
    <r>
      <rPr>
        <sz val="9"/>
        <rFont val="Calibri"/>
        <family val="2"/>
        <charset val="162"/>
      </rPr>
      <t>Triaxial Comp. (UU)</t>
    </r>
  </si>
  <si>
    <r>
      <t xml:space="preserve">ZemindeTek Eks.Sıkışma         
</t>
    </r>
    <r>
      <rPr>
        <sz val="9"/>
        <rFont val="Calibri"/>
        <family val="2"/>
        <charset val="162"/>
      </rPr>
      <t>Unconfin. Stren.</t>
    </r>
  </si>
  <si>
    <r>
      <rPr>
        <b/>
        <sz val="12"/>
        <rFont val="Calibri"/>
        <family val="2"/>
        <charset val="162"/>
      </rPr>
      <t xml:space="preserve">Zeminde Direkt Kesme    </t>
    </r>
    <r>
      <rPr>
        <sz val="10"/>
        <rFont val="Calibri"/>
        <family val="2"/>
        <charset val="162"/>
      </rPr>
      <t xml:space="preserve">                                  </t>
    </r>
    <r>
      <rPr>
        <sz val="9"/>
        <rFont val="Calibri"/>
        <family val="2"/>
        <charset val="162"/>
      </rPr>
      <t>Direct Shears</t>
    </r>
  </si>
  <si>
    <t>LL</t>
  </si>
  <si>
    <t>PL</t>
  </si>
  <si>
    <t>PI</t>
  </si>
  <si>
    <t>c</t>
  </si>
  <si>
    <t>Φ</t>
  </si>
  <si>
    <r>
      <t>q</t>
    </r>
    <r>
      <rPr>
        <vertAlign val="subscript"/>
        <sz val="11"/>
        <rFont val="Calibri"/>
        <family val="2"/>
        <charset val="162"/>
      </rPr>
      <t>u</t>
    </r>
  </si>
  <si>
    <t>(%)</t>
  </si>
  <si>
    <r>
      <t>gr/cm</t>
    </r>
    <r>
      <rPr>
        <vertAlign val="superscript"/>
        <sz val="8"/>
        <rFont val="Calibri"/>
        <family val="2"/>
        <charset val="162"/>
      </rPr>
      <t>3</t>
    </r>
  </si>
  <si>
    <t>( )</t>
  </si>
  <si>
    <t>(kPa)</t>
  </si>
  <si>
    <t>(°)</t>
  </si>
  <si>
    <t>(kpa)</t>
  </si>
  <si>
    <t>SK-1</t>
  </si>
  <si>
    <t>NP</t>
  </si>
  <si>
    <t>sasiGrP</t>
  </si>
  <si>
    <t>grclSa</t>
  </si>
  <si>
    <t>siSaP</t>
  </si>
  <si>
    <t>siSa</t>
  </si>
  <si>
    <t>saCIL</t>
  </si>
  <si>
    <t>sasiclGr</t>
  </si>
  <si>
    <t>grCIH</t>
  </si>
  <si>
    <t>saCIH</t>
  </si>
  <si>
    <t>SK-2</t>
  </si>
  <si>
    <t>CIL</t>
  </si>
  <si>
    <t>grSaP</t>
  </si>
  <si>
    <t>SaP</t>
  </si>
  <si>
    <t>CIH</t>
  </si>
  <si>
    <t>clSa</t>
  </si>
  <si>
    <t>grCIL</t>
  </si>
  <si>
    <t>saCIM</t>
  </si>
  <si>
    <t>SK-3</t>
  </si>
  <si>
    <t>grsiSaP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</si>
</sst>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9"/>
      <name val="Calibri"/>
      <family val="2"/>
      <charset val="162"/>
    </font>
    <font>
      <b/>
      <sz val="10"/>
      <name val="Calibri"/>
      <family val="2"/>
      <charset val="162"/>
    </font>
    <font>
      <sz val="10"/>
      <name val="Calibri"/>
      <family val="2"/>
      <charset val="162"/>
    </font>
    <font>
      <sz val="11"/>
      <name val="Calibri"/>
      <family val="2"/>
      <charset val="162"/>
    </font>
    <font>
      <b/>
      <sz val="12"/>
      <name val="Calibri"/>
      <family val="2"/>
      <charset val="162"/>
    </font>
    <font>
      <b/>
      <sz val="9"/>
      <name val="Calibri"/>
      <family val="2"/>
      <charset val="162"/>
    </font>
    <font>
      <sz val="12"/>
      <name val="Calibri"/>
      <family val="2"/>
      <charset val="162"/>
    </font>
    <font>
      <b/>
      <vertAlign val="subscript"/>
      <sz val="12"/>
      <name val="Calibri"/>
      <family val="2"/>
      <charset val="162"/>
    </font>
    <font>
      <sz val="8"/>
      <name val="Calibri"/>
      <family val="2"/>
      <charset val="162"/>
    </font>
    <font>
      <vertAlign val="subscript"/>
      <sz val="11"/>
      <name val="Calibri"/>
      <family val="2"/>
      <charset val="162"/>
    </font>
    <font>
      <vertAlign val="superscript"/>
      <sz val="8"/>
      <name val="Calibri"/>
      <family val="2"/>
      <charset val="162"/>
    </font>
    <font>
      <b/>
      <sz val="13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8" fillId="0" borderId="24" xfId="0" applyFont="1" applyBorder="1" applyAlignment="1" applyProtection="1">
      <alignment horizontal="center" vertical="center" wrapText="1"/>
      <protection hidden="1"/>
    </xf>
    <xf numFmtId="0" fontId="8" fillId="0" borderId="25" xfId="0" applyFont="1" applyBorder="1" applyAlignment="1" applyProtection="1">
      <alignment horizontal="center" vertical="center" wrapText="1"/>
      <protection hidden="1"/>
    </xf>
    <xf numFmtId="0" fontId="8" fillId="0" borderId="26" xfId="0" applyFont="1" applyBorder="1" applyAlignment="1" applyProtection="1">
      <alignment horizontal="center" vertical="center" wrapText="1"/>
      <protection hidden="1"/>
    </xf>
    <xf numFmtId="2" fontId="5" fillId="0" borderId="24" xfId="0" applyNumberFormat="1" applyFont="1" applyBorder="1" applyAlignment="1">
      <alignment horizontal="center" vertical="center"/>
    </xf>
    <xf numFmtId="2" fontId="5" fillId="0" borderId="27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10" fillId="0" borderId="28" xfId="0" applyFont="1" applyBorder="1" applyAlignment="1" applyProtection="1">
      <alignment horizontal="center" vertical="center" wrapText="1"/>
      <protection hidden="1"/>
    </xf>
    <xf numFmtId="0" fontId="10" fillId="0" borderId="31" xfId="0" applyFont="1" applyBorder="1" applyAlignment="1" applyProtection="1">
      <alignment horizontal="center" vertical="center" wrapText="1"/>
      <protection hidden="1"/>
    </xf>
    <xf numFmtId="0" fontId="10" fillId="0" borderId="32" xfId="0" applyFont="1" applyBorder="1" applyAlignment="1" applyProtection="1">
      <alignment horizontal="center" vertical="center"/>
      <protection hidden="1"/>
    </xf>
    <xf numFmtId="0" fontId="10" fillId="0" borderId="33" xfId="0" applyFont="1" applyBorder="1" applyAlignment="1" applyProtection="1">
      <alignment horizontal="center" vertical="center" wrapText="1"/>
      <protection hidden="1"/>
    </xf>
    <xf numFmtId="0" fontId="10" fillId="0" borderId="30" xfId="0" applyFont="1" applyBorder="1" applyAlignment="1" applyProtection="1">
      <alignment horizontal="center" vertical="center"/>
      <protection hidden="1"/>
    </xf>
    <xf numFmtId="0" fontId="10" fillId="0" borderId="30" xfId="0" applyFont="1" applyBorder="1" applyAlignment="1" applyProtection="1">
      <alignment horizontal="center" vertical="center" wrapText="1"/>
      <protection hidden="1"/>
    </xf>
    <xf numFmtId="2" fontId="10" fillId="0" borderId="28" xfId="0" applyNumberFormat="1" applyFont="1" applyBorder="1" applyAlignment="1">
      <alignment horizontal="center" vertical="center"/>
    </xf>
    <xf numFmtId="2" fontId="10" fillId="0" borderId="34" xfId="0" applyNumberFormat="1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2" fontId="13" fillId="2" borderId="6" xfId="0" applyNumberFormat="1" applyFont="1" applyFill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horizontal="center" vertical="center"/>
      <protection locked="0"/>
    </xf>
    <xf numFmtId="2" fontId="13" fillId="0" borderId="4" xfId="0" applyNumberFormat="1" applyFont="1" applyBorder="1" applyAlignment="1" applyProtection="1">
      <alignment horizontal="center" vertical="center"/>
      <protection locked="0"/>
    </xf>
    <xf numFmtId="2" fontId="13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10" xfId="0" applyNumberFormat="1" applyFont="1" applyBorder="1" applyAlignment="1" applyProtection="1">
      <alignment horizontal="center" vertical="center"/>
      <protection locked="0"/>
    </xf>
    <xf numFmtId="164" fontId="13" fillId="0" borderId="4" xfId="0" applyNumberFormat="1" applyFont="1" applyBorder="1" applyAlignment="1" applyProtection="1">
      <alignment horizontal="center" vertical="center"/>
      <protection locked="0"/>
    </xf>
    <xf numFmtId="164" fontId="13" fillId="0" borderId="36" xfId="0" applyNumberFormat="1" applyFont="1" applyBorder="1" applyAlignment="1" applyProtection="1">
      <alignment horizontal="center" vertical="center"/>
      <protection locked="0"/>
    </xf>
    <xf numFmtId="164" fontId="13" fillId="0" borderId="3" xfId="0" applyNumberFormat="1" applyFont="1" applyBorder="1" applyAlignment="1" applyProtection="1">
      <alignment horizontal="center" vertical="center"/>
      <protection locked="0"/>
    </xf>
    <xf numFmtId="165" fontId="13" fillId="0" borderId="3" xfId="0" applyNumberFormat="1" applyFont="1" applyBorder="1" applyAlignment="1" applyProtection="1">
      <alignment horizontal="center" vertical="center"/>
      <protection locked="0"/>
    </xf>
    <xf numFmtId="165" fontId="13" fillId="0" borderId="36" xfId="0" applyNumberFormat="1" applyFont="1" applyBorder="1" applyAlignment="1" applyProtection="1">
      <alignment horizontal="center" vertical="center"/>
      <protection locked="0"/>
    </xf>
    <xf numFmtId="165" fontId="13" fillId="2" borderId="36" xfId="0" applyNumberFormat="1" applyFont="1" applyFill="1" applyBorder="1" applyAlignment="1" applyProtection="1">
      <alignment horizontal="center" vertical="center"/>
      <protection locked="0"/>
    </xf>
    <xf numFmtId="2" fontId="13" fillId="0" borderId="36" xfId="0" applyNumberFormat="1" applyFont="1" applyBorder="1" applyAlignment="1" applyProtection="1">
      <alignment horizontal="center" vertical="center"/>
      <protection locked="0"/>
    </xf>
    <xf numFmtId="2" fontId="13" fillId="0" borderId="10" xfId="0" applyNumberFormat="1" applyFont="1" applyBorder="1" applyAlignment="1" applyProtection="1">
      <alignment horizontal="center" vertical="center"/>
      <protection locked="0"/>
    </xf>
    <xf numFmtId="2" fontId="13" fillId="0" borderId="26" xfId="0" applyNumberFormat="1" applyFont="1" applyBorder="1" applyAlignment="1" applyProtection="1">
      <alignment horizontal="center" vertical="center"/>
      <protection locked="0"/>
    </xf>
    <xf numFmtId="2" fontId="13" fillId="0" borderId="11" xfId="0" applyNumberFormat="1" applyFont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Border="1" applyAlignment="1" applyProtection="1">
      <alignment horizontal="center" vertical="center"/>
      <protection locked="0"/>
    </xf>
    <xf numFmtId="2" fontId="13" fillId="0" borderId="25" xfId="0" applyNumberFormat="1" applyFont="1" applyBorder="1" applyAlignment="1" applyProtection="1">
      <alignment horizontal="center" vertical="center"/>
      <protection locked="0"/>
    </xf>
    <xf numFmtId="164" fontId="13" fillId="0" borderId="37" xfId="0" applyNumberFormat="1" applyFont="1" applyBorder="1" applyAlignment="1" applyProtection="1">
      <alignment horizontal="center" vertical="center"/>
      <protection locked="0"/>
    </xf>
    <xf numFmtId="164" fontId="13" fillId="0" borderId="25" xfId="0" applyNumberFormat="1" applyFont="1" applyBorder="1" applyAlignment="1" applyProtection="1">
      <alignment horizontal="center" vertical="center"/>
      <protection locked="0"/>
    </xf>
    <xf numFmtId="164" fontId="13" fillId="0" borderId="19" xfId="0" applyNumberFormat="1" applyFont="1" applyBorder="1" applyAlignment="1" applyProtection="1">
      <alignment horizontal="center" vertical="center"/>
      <protection locked="0"/>
    </xf>
    <xf numFmtId="164" fontId="13" fillId="0" borderId="38" xfId="0" applyNumberFormat="1" applyFont="1" applyBorder="1" applyAlignment="1" applyProtection="1">
      <alignment horizontal="center" vertical="center"/>
      <protection locked="0"/>
    </xf>
    <xf numFmtId="165" fontId="13" fillId="0" borderId="38" xfId="0" applyNumberFormat="1" applyFont="1" applyBorder="1" applyAlignment="1" applyProtection="1">
      <alignment horizontal="center" vertical="center"/>
      <protection locked="0"/>
    </xf>
    <xf numFmtId="165" fontId="13" fillId="0" borderId="19" xfId="0" applyNumberFormat="1" applyFont="1" applyBorder="1" applyAlignment="1" applyProtection="1">
      <alignment horizontal="center" vertical="center"/>
      <protection locked="0"/>
    </xf>
    <xf numFmtId="165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Border="1" applyAlignment="1" applyProtection="1">
      <alignment horizontal="center" vertical="center"/>
      <protection locked="0"/>
    </xf>
    <xf numFmtId="2" fontId="13" fillId="0" borderId="37" xfId="0" applyNumberFormat="1" applyFont="1" applyBorder="1" applyAlignment="1" applyProtection="1">
      <alignment horizontal="center" vertical="center"/>
      <protection locked="0"/>
    </xf>
    <xf numFmtId="2" fontId="13" fillId="0" borderId="39" xfId="0" applyNumberFormat="1" applyFont="1" applyBorder="1" applyAlignment="1" applyProtection="1">
      <alignment horizontal="center" vertical="center"/>
      <protection locked="0"/>
    </xf>
    <xf numFmtId="164" fontId="13" fillId="0" borderId="14" xfId="0" applyNumberFormat="1" applyFont="1" applyBorder="1" applyAlignment="1" applyProtection="1">
      <alignment horizontal="center" vertical="center"/>
      <protection locked="0"/>
    </xf>
    <xf numFmtId="165" fontId="13" fillId="0" borderId="14" xfId="0" applyNumberFormat="1" applyFont="1" applyBorder="1" applyAlignment="1" applyProtection="1">
      <alignment horizontal="center" vertical="center"/>
      <protection locked="0"/>
    </xf>
    <xf numFmtId="2" fontId="13" fillId="0" borderId="24" xfId="0" applyNumberFormat="1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2" fontId="13" fillId="0" borderId="12" xfId="0" applyNumberFormat="1" applyFont="1" applyBorder="1" applyAlignment="1" applyProtection="1">
      <alignment horizontal="center" vertical="center"/>
      <protection locked="0"/>
    </xf>
    <xf numFmtId="2" fontId="13" fillId="0" borderId="15" xfId="0" applyNumberFormat="1" applyFont="1" applyBorder="1" applyAlignment="1" applyProtection="1">
      <alignment horizontal="center" vertical="center"/>
      <protection locked="0"/>
    </xf>
    <xf numFmtId="164" fontId="13" fillId="0" borderId="24" xfId="0" applyNumberFormat="1" applyFont="1" applyBorder="1" applyAlignment="1" applyProtection="1">
      <alignment horizontal="center" vertical="center"/>
      <protection locked="0"/>
    </xf>
    <xf numFmtId="164" fontId="13" fillId="0" borderId="15" xfId="0" applyNumberFormat="1" applyFont="1" applyBorder="1" applyAlignment="1" applyProtection="1">
      <alignment horizontal="center" vertical="center"/>
      <protection locked="0"/>
    </xf>
    <xf numFmtId="164" fontId="13" fillId="0" borderId="27" xfId="0" applyNumberFormat="1" applyFont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65" fontId="13" fillId="0" borderId="27" xfId="0" applyNumberFormat="1" applyFont="1" applyBorder="1" applyAlignment="1" applyProtection="1">
      <alignment horizontal="center" vertical="center"/>
      <protection locked="0"/>
    </xf>
    <xf numFmtId="2" fontId="13" fillId="0" borderId="35" xfId="0" applyNumberFormat="1" applyFont="1" applyBorder="1" applyAlignment="1" applyProtection="1">
      <alignment horizontal="center" vertical="center"/>
      <protection locked="0"/>
    </xf>
    <xf numFmtId="2" fontId="13" fillId="0" borderId="27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textRotation="90" wrapText="1"/>
      <protection hidden="1"/>
    </xf>
    <xf numFmtId="0" fontId="6" fillId="0" borderId="13" xfId="0" applyFont="1" applyBorder="1" applyAlignment="1" applyProtection="1">
      <alignment horizontal="center" vertical="center" textRotation="90" wrapText="1"/>
      <protection hidden="1"/>
    </xf>
    <xf numFmtId="0" fontId="6" fillId="0" borderId="29" xfId="0" applyFont="1" applyBorder="1" applyAlignment="1" applyProtection="1">
      <alignment horizontal="center" vertical="center" textRotation="90" wrapText="1"/>
      <protection hidden="1"/>
    </xf>
    <xf numFmtId="2" fontId="6" fillId="0" borderId="9" xfId="0" applyNumberFormat="1" applyFont="1" applyBorder="1" applyAlignment="1">
      <alignment horizontal="center" vertical="center" textRotation="90" wrapText="1"/>
    </xf>
    <xf numFmtId="2" fontId="6" fillId="0" borderId="20" xfId="0" applyNumberFormat="1" applyFont="1" applyBorder="1" applyAlignment="1">
      <alignment horizontal="center" vertical="center" textRotation="90" wrapText="1"/>
    </xf>
    <xf numFmtId="2" fontId="6" fillId="0" borderId="32" xfId="0" applyNumberFormat="1" applyFont="1" applyBorder="1" applyAlignment="1">
      <alignment horizontal="center" vertical="center" textRotation="90" wrapText="1"/>
    </xf>
    <xf numFmtId="2" fontId="6" fillId="0" borderId="10" xfId="0" applyNumberFormat="1" applyFont="1" applyBorder="1" applyAlignment="1">
      <alignment horizontal="center" vertical="center" wrapText="1"/>
    </xf>
    <xf numFmtId="2" fontId="8" fillId="0" borderId="11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 wrapText="1"/>
    </xf>
    <xf numFmtId="2" fontId="8" fillId="0" borderId="22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/>
    </xf>
    <xf numFmtId="2" fontId="8" fillId="0" borderId="17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 textRotation="90" wrapText="1"/>
      <protection hidden="1"/>
    </xf>
    <xf numFmtId="0" fontId="6" fillId="0" borderId="16" xfId="0" applyFont="1" applyBorder="1" applyAlignment="1" applyProtection="1">
      <alignment horizontal="center" vertical="center" textRotation="90" wrapText="1"/>
      <protection hidden="1"/>
    </xf>
    <xf numFmtId="0" fontId="6" fillId="0" borderId="23" xfId="0" applyFont="1" applyBorder="1" applyAlignment="1" applyProtection="1">
      <alignment horizontal="center" vertical="center" textRotation="90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17" xfId="0" applyFont="1" applyBorder="1" applyAlignment="1" applyProtection="1">
      <alignment horizontal="center" vertical="center" wrapText="1"/>
      <protection hidden="1"/>
    </xf>
    <xf numFmtId="0" fontId="8" fillId="0" borderId="18" xfId="0" applyFont="1" applyBorder="1" applyAlignment="1" applyProtection="1">
      <alignment horizontal="center" vertical="center" wrapText="1"/>
      <protection hidden="1"/>
    </xf>
    <xf numFmtId="0" fontId="8" fillId="0" borderId="19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28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textRotation="90" wrapText="1"/>
      <protection hidden="1"/>
    </xf>
    <xf numFmtId="0" fontId="5" fillId="0" borderId="13" xfId="0" applyFont="1" applyBorder="1" applyAlignment="1" applyProtection="1">
      <alignment horizontal="center" vertical="center" textRotation="90" wrapText="1"/>
      <protection hidden="1"/>
    </xf>
    <xf numFmtId="0" fontId="5" fillId="0" borderId="29" xfId="0" applyFont="1" applyBorder="1" applyAlignment="1" applyProtection="1">
      <alignment horizontal="center" vertical="center" textRotation="90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3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textRotation="90" wrapText="1"/>
      <protection hidden="1"/>
    </xf>
    <xf numFmtId="0" fontId="6" fillId="0" borderId="12" xfId="0" quotePrefix="1" applyFont="1" applyBorder="1" applyAlignment="1" applyProtection="1">
      <alignment horizontal="center" vertical="center" textRotation="90" wrapText="1"/>
      <protection hidden="1"/>
    </xf>
    <xf numFmtId="0" fontId="6" fillId="0" borderId="4" xfId="0" applyFont="1" applyBorder="1" applyAlignment="1" applyProtection="1">
      <alignment horizontal="center" vertical="center" textRotation="90" wrapText="1"/>
      <protection hidden="1"/>
    </xf>
    <xf numFmtId="0" fontId="6" fillId="0" borderId="15" xfId="0" applyFont="1" applyBorder="1" applyAlignment="1" applyProtection="1">
      <alignment horizontal="center" vertical="center" textRotation="90" wrapText="1"/>
      <protection hidden="1"/>
    </xf>
    <xf numFmtId="2" fontId="13" fillId="0" borderId="35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sqref="A1:V35"/>
    </sheetView>
  </sheetViews>
  <sheetFormatPr defaultRowHeight="14.4" x14ac:dyDescent="0.3"/>
  <sheetData>
    <row r="1" spans="1:22" ht="14.4" customHeight="1" x14ac:dyDescent="0.3">
      <c r="A1" s="95" t="s">
        <v>0</v>
      </c>
      <c r="B1" s="98" t="s">
        <v>1</v>
      </c>
      <c r="C1" s="101" t="s">
        <v>2</v>
      </c>
      <c r="D1" s="104" t="s">
        <v>3</v>
      </c>
      <c r="E1" s="106" t="s">
        <v>4</v>
      </c>
      <c r="F1" s="106" t="s">
        <v>5</v>
      </c>
      <c r="G1" s="80" t="s">
        <v>6</v>
      </c>
      <c r="H1" s="83" t="s">
        <v>7</v>
      </c>
      <c r="I1" s="84"/>
      <c r="J1" s="85"/>
      <c r="K1" s="89" t="s">
        <v>8</v>
      </c>
      <c r="L1" s="89" t="s">
        <v>9</v>
      </c>
      <c r="M1" s="91" t="s">
        <v>10</v>
      </c>
      <c r="N1" s="93" t="s">
        <v>11</v>
      </c>
      <c r="O1" s="65" t="s">
        <v>12</v>
      </c>
      <c r="P1" s="68" t="s">
        <v>13</v>
      </c>
      <c r="Q1" s="71" t="s">
        <v>14</v>
      </c>
      <c r="R1" s="72"/>
      <c r="S1" s="75" t="s">
        <v>15</v>
      </c>
      <c r="T1" s="76"/>
      <c r="U1" s="79" t="s">
        <v>16</v>
      </c>
      <c r="V1" s="76"/>
    </row>
    <row r="2" spans="1:22" ht="14.4" customHeight="1" x14ac:dyDescent="0.3">
      <c r="A2" s="96"/>
      <c r="B2" s="99"/>
      <c r="C2" s="102"/>
      <c r="D2" s="105"/>
      <c r="E2" s="107"/>
      <c r="F2" s="107"/>
      <c r="G2" s="81"/>
      <c r="H2" s="86"/>
      <c r="I2" s="87"/>
      <c r="J2" s="88"/>
      <c r="K2" s="90"/>
      <c r="L2" s="90"/>
      <c r="M2" s="92"/>
      <c r="N2" s="94"/>
      <c r="O2" s="66"/>
      <c r="P2" s="69"/>
      <c r="Q2" s="73"/>
      <c r="R2" s="74"/>
      <c r="S2" s="77"/>
      <c r="T2" s="78"/>
      <c r="U2" s="77"/>
      <c r="V2" s="78"/>
    </row>
    <row r="3" spans="1:22" ht="15.6" x14ac:dyDescent="0.3">
      <c r="A3" s="96"/>
      <c r="B3" s="99"/>
      <c r="C3" s="102"/>
      <c r="D3" s="105"/>
      <c r="E3" s="107"/>
      <c r="F3" s="107"/>
      <c r="G3" s="82"/>
      <c r="H3" s="1" t="s">
        <v>17</v>
      </c>
      <c r="I3" s="2" t="s">
        <v>18</v>
      </c>
      <c r="J3" s="3" t="s">
        <v>19</v>
      </c>
      <c r="K3" s="90"/>
      <c r="L3" s="90"/>
      <c r="M3" s="92"/>
      <c r="N3" s="94"/>
      <c r="O3" s="66"/>
      <c r="P3" s="69"/>
      <c r="Q3" s="4" t="s">
        <v>20</v>
      </c>
      <c r="R3" s="5" t="s">
        <v>21</v>
      </c>
      <c r="S3" s="4" t="s">
        <v>22</v>
      </c>
      <c r="T3" s="6" t="s">
        <v>20</v>
      </c>
      <c r="U3" s="4" t="s">
        <v>20</v>
      </c>
      <c r="V3" s="6" t="s">
        <v>21</v>
      </c>
    </row>
    <row r="4" spans="1:22" x14ac:dyDescent="0.3">
      <c r="A4" s="97"/>
      <c r="B4" s="100"/>
      <c r="C4" s="103"/>
      <c r="D4" s="7" t="s">
        <v>23</v>
      </c>
      <c r="E4" s="8" t="s">
        <v>23</v>
      </c>
      <c r="F4" s="8" t="s">
        <v>23</v>
      </c>
      <c r="G4" s="9" t="s">
        <v>23</v>
      </c>
      <c r="H4" s="10" t="s">
        <v>23</v>
      </c>
      <c r="I4" s="8" t="s">
        <v>23</v>
      </c>
      <c r="J4" s="9" t="s">
        <v>23</v>
      </c>
      <c r="K4" s="11" t="s">
        <v>23</v>
      </c>
      <c r="L4" s="11" t="s">
        <v>24</v>
      </c>
      <c r="M4" s="11" t="s">
        <v>24</v>
      </c>
      <c r="N4" s="12" t="s">
        <v>25</v>
      </c>
      <c r="O4" s="67"/>
      <c r="P4" s="70"/>
      <c r="Q4" s="13" t="s">
        <v>26</v>
      </c>
      <c r="R4" s="14" t="s">
        <v>27</v>
      </c>
      <c r="S4" s="15" t="s">
        <v>26</v>
      </c>
      <c r="T4" s="14" t="s">
        <v>26</v>
      </c>
      <c r="U4" s="15" t="s">
        <v>28</v>
      </c>
      <c r="V4" s="14" t="s">
        <v>27</v>
      </c>
    </row>
    <row r="5" spans="1:22" ht="17.399999999999999" x14ac:dyDescent="0.3">
      <c r="A5" s="16" t="s">
        <v>29</v>
      </c>
      <c r="B5" s="17"/>
      <c r="C5" s="18">
        <v>1.5</v>
      </c>
      <c r="D5" s="19">
        <v>67.52</v>
      </c>
      <c r="E5" s="20">
        <v>20.329999999999998</v>
      </c>
      <c r="F5" s="63">
        <f>100-E5-D5</f>
        <v>12.150000000000006</v>
      </c>
      <c r="G5" s="64"/>
      <c r="H5" s="22"/>
      <c r="I5" s="23" t="s">
        <v>30</v>
      </c>
      <c r="J5" s="24"/>
      <c r="K5" s="25">
        <v>5.450105585022901</v>
      </c>
      <c r="L5" s="26">
        <v>1.7603749999999996</v>
      </c>
      <c r="M5" s="26">
        <v>1.6639240976963385</v>
      </c>
      <c r="N5" s="27"/>
      <c r="O5" s="28" t="s">
        <v>31</v>
      </c>
      <c r="P5" s="29"/>
      <c r="Q5" s="30"/>
      <c r="R5" s="31"/>
      <c r="S5" s="30"/>
      <c r="T5" s="32"/>
      <c r="U5" s="30">
        <v>4.7328316982893384</v>
      </c>
      <c r="V5" s="29">
        <v>29.825625120091225</v>
      </c>
    </row>
    <row r="6" spans="1:22" ht="17.399999999999999" x14ac:dyDescent="0.3">
      <c r="A6" s="33" t="s">
        <v>29</v>
      </c>
      <c r="B6" s="34"/>
      <c r="C6" s="35">
        <v>3</v>
      </c>
      <c r="D6" s="36">
        <v>16.360000000000014</v>
      </c>
      <c r="E6" s="37">
        <v>65.820000000000022</v>
      </c>
      <c r="F6" s="108">
        <v>10.85</v>
      </c>
      <c r="G6" s="108">
        <v>6.97</v>
      </c>
      <c r="H6" s="38">
        <v>27.000000886651343</v>
      </c>
      <c r="I6" s="39">
        <v>20.114855641964599</v>
      </c>
      <c r="J6" s="40">
        <v>6.8851452446867434</v>
      </c>
      <c r="K6" s="41">
        <v>25.40982948002528</v>
      </c>
      <c r="L6" s="42">
        <v>1.8111266666666668</v>
      </c>
      <c r="M6" s="42">
        <v>1.4433706682399947</v>
      </c>
      <c r="N6" s="43"/>
      <c r="O6" s="44" t="s">
        <v>32</v>
      </c>
      <c r="P6" s="45"/>
      <c r="Q6" s="46"/>
      <c r="R6" s="31"/>
      <c r="S6" s="46"/>
      <c r="T6" s="47"/>
      <c r="U6" s="46"/>
      <c r="V6" s="45"/>
    </row>
    <row r="7" spans="1:22" ht="17.399999999999999" x14ac:dyDescent="0.3">
      <c r="A7" s="33" t="s">
        <v>29</v>
      </c>
      <c r="B7" s="34"/>
      <c r="C7" s="35">
        <v>4.5</v>
      </c>
      <c r="D7" s="36">
        <v>11.93</v>
      </c>
      <c r="E7" s="37">
        <v>82.89</v>
      </c>
      <c r="F7" s="63">
        <f>100-E7-D7</f>
        <v>5.18</v>
      </c>
      <c r="G7" s="64"/>
      <c r="H7" s="38"/>
      <c r="I7" s="39" t="s">
        <v>30</v>
      </c>
      <c r="J7" s="40"/>
      <c r="K7" s="48">
        <v>10.810009200269624</v>
      </c>
      <c r="L7" s="49">
        <v>1.7199966666666666</v>
      </c>
      <c r="M7" s="49">
        <v>1.5473576638633908</v>
      </c>
      <c r="N7" s="43"/>
      <c r="O7" s="44" t="s">
        <v>33</v>
      </c>
      <c r="P7" s="21"/>
      <c r="Q7" s="50"/>
      <c r="R7" s="31"/>
      <c r="S7" s="50"/>
      <c r="T7" s="47"/>
      <c r="U7" s="50"/>
      <c r="V7" s="21"/>
    </row>
    <row r="8" spans="1:22" ht="17.399999999999999" x14ac:dyDescent="0.3">
      <c r="A8" s="33" t="s">
        <v>29</v>
      </c>
      <c r="B8" s="51"/>
      <c r="C8" s="52">
        <v>6</v>
      </c>
      <c r="D8" s="53">
        <v>0</v>
      </c>
      <c r="E8" s="54">
        <v>78.260000000000005</v>
      </c>
      <c r="F8" s="63">
        <f>100-E8-D8</f>
        <v>21.739999999999995</v>
      </c>
      <c r="G8" s="64"/>
      <c r="H8" s="55"/>
      <c r="I8" s="56" t="s">
        <v>30</v>
      </c>
      <c r="J8" s="57"/>
      <c r="K8" s="48">
        <v>15.559148723360108</v>
      </c>
      <c r="L8" s="49">
        <v>1.7371700000000001</v>
      </c>
      <c r="M8" s="49">
        <v>1.5000137643928124</v>
      </c>
      <c r="N8" s="43"/>
      <c r="O8" s="44" t="s">
        <v>34</v>
      </c>
      <c r="P8" s="21"/>
      <c r="Q8" s="50"/>
      <c r="R8" s="31"/>
      <c r="S8" s="50"/>
      <c r="T8" s="47"/>
      <c r="U8" s="50">
        <v>8.4793098180041149</v>
      </c>
      <c r="V8" s="21">
        <v>25.657994721792715</v>
      </c>
    </row>
    <row r="9" spans="1:22" ht="17.399999999999999" x14ac:dyDescent="0.3">
      <c r="A9" s="33" t="s">
        <v>29</v>
      </c>
      <c r="B9" s="34"/>
      <c r="C9" s="58">
        <v>7.5</v>
      </c>
      <c r="D9" s="53">
        <v>0</v>
      </c>
      <c r="E9" s="54">
        <v>36.160000000000011</v>
      </c>
      <c r="F9" s="108">
        <v>39.4</v>
      </c>
      <c r="G9" s="108">
        <v>24.44</v>
      </c>
      <c r="H9" s="55">
        <v>33.100001023311947</v>
      </c>
      <c r="I9" s="56">
        <v>21.214738159179227</v>
      </c>
      <c r="J9" s="57">
        <v>11.88526286413272</v>
      </c>
      <c r="K9" s="48">
        <v>27.23000331840425</v>
      </c>
      <c r="L9" s="49">
        <v>1.836108333333333</v>
      </c>
      <c r="M9" s="49">
        <v>1.4409669000454126</v>
      </c>
      <c r="N9" s="43"/>
      <c r="O9" s="44" t="s">
        <v>35</v>
      </c>
      <c r="P9" s="21"/>
      <c r="Q9" s="50"/>
      <c r="R9" s="31"/>
      <c r="S9" s="50"/>
      <c r="T9" s="47"/>
      <c r="U9" s="50"/>
      <c r="V9" s="21"/>
    </row>
    <row r="10" spans="1:22" ht="17.399999999999999" x14ac:dyDescent="0.3">
      <c r="A10" s="33" t="s">
        <v>29</v>
      </c>
      <c r="B10" s="34"/>
      <c r="C10" s="52">
        <v>9</v>
      </c>
      <c r="D10" s="53">
        <v>10.32</v>
      </c>
      <c r="E10" s="54">
        <v>82.67</v>
      </c>
      <c r="F10" s="63">
        <f>100-E10-D10</f>
        <v>7.009999999999998</v>
      </c>
      <c r="G10" s="64"/>
      <c r="H10" s="55"/>
      <c r="I10" s="56" t="s">
        <v>30</v>
      </c>
      <c r="J10" s="57"/>
      <c r="K10" s="48">
        <v>12.940027722642094</v>
      </c>
      <c r="L10" s="49">
        <v>1.7084250000000001</v>
      </c>
      <c r="M10" s="49">
        <v>1.5109302385353665</v>
      </c>
      <c r="N10" s="43"/>
      <c r="O10" s="44" t="s">
        <v>33</v>
      </c>
      <c r="P10" s="21"/>
      <c r="Q10" s="50"/>
      <c r="R10" s="31"/>
      <c r="S10" s="50"/>
      <c r="T10" s="47"/>
      <c r="U10" s="50"/>
      <c r="V10" s="21"/>
    </row>
    <row r="11" spans="1:22" ht="17.399999999999999" x14ac:dyDescent="0.3">
      <c r="A11" s="33" t="s">
        <v>29</v>
      </c>
      <c r="B11" s="51"/>
      <c r="C11" s="59">
        <v>10.5</v>
      </c>
      <c r="D11" s="53">
        <v>18.400000000000006</v>
      </c>
      <c r="E11" s="54">
        <v>65.940000000000026</v>
      </c>
      <c r="F11" s="108">
        <v>9.39</v>
      </c>
      <c r="G11" s="108">
        <v>6.27</v>
      </c>
      <c r="H11" s="55">
        <v>27.800207960976564</v>
      </c>
      <c r="I11" s="56">
        <v>17.414901259605511</v>
      </c>
      <c r="J11" s="57">
        <v>10.385306701371054</v>
      </c>
      <c r="K11" s="48">
        <v>23.499993782731135</v>
      </c>
      <c r="L11" s="49">
        <v>1.8441383333333332</v>
      </c>
      <c r="M11" s="49">
        <v>1.4901107265921985</v>
      </c>
      <c r="N11" s="43"/>
      <c r="O11" s="44" t="s">
        <v>32</v>
      </c>
      <c r="P11" s="21"/>
      <c r="Q11" s="50"/>
      <c r="R11" s="31"/>
      <c r="S11" s="50"/>
      <c r="T11" s="47"/>
      <c r="U11" s="50">
        <v>22.70842598397169</v>
      </c>
      <c r="V11" s="21">
        <v>12.533956713733438</v>
      </c>
    </row>
    <row r="12" spans="1:22" ht="17.399999999999999" x14ac:dyDescent="0.3">
      <c r="A12" s="33" t="s">
        <v>29</v>
      </c>
      <c r="B12" s="34"/>
      <c r="C12" s="59">
        <v>12</v>
      </c>
      <c r="D12" s="53">
        <v>38.300000000000011</v>
      </c>
      <c r="E12" s="54">
        <v>22.840000000000003</v>
      </c>
      <c r="F12" s="108">
        <v>25.25</v>
      </c>
      <c r="G12" s="108">
        <v>13.61</v>
      </c>
      <c r="H12" s="55">
        <v>33.600002720303273</v>
      </c>
      <c r="I12" s="56">
        <v>20.564438831938283</v>
      </c>
      <c r="J12" s="57">
        <v>13.03556388836499</v>
      </c>
      <c r="K12" s="48">
        <v>28.579019064362726</v>
      </c>
      <c r="L12" s="49">
        <v>1.8044199999999997</v>
      </c>
      <c r="M12" s="49">
        <v>1.3999040080165159</v>
      </c>
      <c r="N12" s="43"/>
      <c r="O12" s="44" t="s">
        <v>36</v>
      </c>
      <c r="P12" s="21"/>
      <c r="Q12" s="50"/>
      <c r="R12" s="31"/>
      <c r="S12" s="50"/>
      <c r="T12" s="47"/>
      <c r="U12" s="50"/>
      <c r="V12" s="21"/>
    </row>
    <row r="13" spans="1:22" ht="17.399999999999999" x14ac:dyDescent="0.3">
      <c r="A13" s="33" t="s">
        <v>29</v>
      </c>
      <c r="B13" s="60"/>
      <c r="C13" s="59">
        <v>13.5</v>
      </c>
      <c r="D13" s="53">
        <v>16.240000000000009</v>
      </c>
      <c r="E13" s="54">
        <v>23.68</v>
      </c>
      <c r="F13" s="108">
        <v>37.31</v>
      </c>
      <c r="G13" s="108">
        <v>22.77</v>
      </c>
      <c r="H13" s="55">
        <v>34.100063947419841</v>
      </c>
      <c r="I13" s="56">
        <v>19.129825949190028</v>
      </c>
      <c r="J13" s="57">
        <v>14.970237998229813</v>
      </c>
      <c r="K13" s="48">
        <v>27.770748220012287</v>
      </c>
      <c r="L13" s="49">
        <v>1.8294116666666669</v>
      </c>
      <c r="M13" s="49">
        <v>1.4287926065749577</v>
      </c>
      <c r="N13" s="43"/>
      <c r="O13" s="44" t="s">
        <v>35</v>
      </c>
      <c r="P13" s="21"/>
      <c r="Q13" s="50"/>
      <c r="R13" s="31"/>
      <c r="S13" s="50"/>
      <c r="T13" s="47"/>
      <c r="U13" s="50"/>
      <c r="V13" s="21"/>
    </row>
    <row r="14" spans="1:22" ht="17.399999999999999" x14ac:dyDescent="0.3">
      <c r="A14" s="33" t="s">
        <v>29</v>
      </c>
      <c r="B14" s="34"/>
      <c r="C14" s="35">
        <v>15</v>
      </c>
      <c r="D14" s="53">
        <v>17.840000000000018</v>
      </c>
      <c r="E14" s="54">
        <v>10.019999999999996</v>
      </c>
      <c r="F14" s="108">
        <v>41.41</v>
      </c>
      <c r="G14" s="108">
        <v>30.73</v>
      </c>
      <c r="H14" s="55">
        <v>30.299993949856617</v>
      </c>
      <c r="I14" s="56">
        <v>19.054497665460978</v>
      </c>
      <c r="J14" s="57">
        <v>11.245496284395639</v>
      </c>
      <c r="K14" s="48">
        <v>27.240132039097997</v>
      </c>
      <c r="L14" s="49">
        <v>1.8367783333333334</v>
      </c>
      <c r="M14" s="49">
        <v>1.4403838560944362</v>
      </c>
      <c r="N14" s="43"/>
      <c r="O14" s="44" t="s">
        <v>37</v>
      </c>
      <c r="P14" s="21"/>
      <c r="Q14" s="50"/>
      <c r="R14" s="31"/>
      <c r="S14" s="50"/>
      <c r="T14" s="47"/>
      <c r="U14" s="50">
        <v>26.430195633102521</v>
      </c>
      <c r="V14" s="21">
        <v>9.7626955439153065</v>
      </c>
    </row>
    <row r="15" spans="1:22" ht="17.399999999999999" x14ac:dyDescent="0.3">
      <c r="A15" s="33" t="s">
        <v>29</v>
      </c>
      <c r="B15" s="34"/>
      <c r="C15" s="35">
        <v>18</v>
      </c>
      <c r="D15" s="53">
        <v>6.8400000000000034</v>
      </c>
      <c r="E15" s="54">
        <v>14.799999999999997</v>
      </c>
      <c r="F15" s="108">
        <v>24.68</v>
      </c>
      <c r="G15" s="108">
        <v>53.68</v>
      </c>
      <c r="H15" s="55">
        <v>54.299747960484552</v>
      </c>
      <c r="I15" s="56">
        <v>26.640011727619214</v>
      </c>
      <c r="J15" s="57">
        <v>27.659736232865338</v>
      </c>
      <c r="K15" s="48">
        <v>34.659918045175615</v>
      </c>
      <c r="L15" s="49">
        <v>1.8993083333333332</v>
      </c>
      <c r="M15" s="49">
        <v>1.4077215687129838</v>
      </c>
      <c r="N15" s="43"/>
      <c r="O15" s="44" t="s">
        <v>38</v>
      </c>
      <c r="P15" s="21"/>
      <c r="Q15" s="50"/>
      <c r="R15" s="31"/>
      <c r="S15" s="50"/>
      <c r="T15" s="47"/>
      <c r="U15" s="50">
        <v>64.649475542574265</v>
      </c>
      <c r="V15" s="21">
        <v>8.4171222013567899</v>
      </c>
    </row>
    <row r="16" spans="1:22" ht="17.399999999999999" x14ac:dyDescent="0.3">
      <c r="A16" s="61" t="s">
        <v>39</v>
      </c>
      <c r="B16" s="51"/>
      <c r="C16" s="35">
        <v>1.5</v>
      </c>
      <c r="D16" s="53">
        <v>0</v>
      </c>
      <c r="E16" s="54">
        <v>22.240000000000009</v>
      </c>
      <c r="F16" s="108">
        <v>51.42</v>
      </c>
      <c r="G16" s="108">
        <v>26.34</v>
      </c>
      <c r="H16" s="55">
        <v>33.999887472442417</v>
      </c>
      <c r="I16" s="56">
        <v>21.304734869184237</v>
      </c>
      <c r="J16" s="57">
        <v>12.69515260325818</v>
      </c>
      <c r="K16" s="48">
        <v>27.970283536768804</v>
      </c>
      <c r="L16" s="49">
        <v>1.8443183333333331</v>
      </c>
      <c r="M16" s="49">
        <v>1.4407160058740291</v>
      </c>
      <c r="N16" s="43"/>
      <c r="O16" s="44" t="s">
        <v>35</v>
      </c>
      <c r="P16" s="21"/>
      <c r="Q16" s="50"/>
      <c r="R16" s="31"/>
      <c r="S16" s="50"/>
      <c r="T16" s="47"/>
      <c r="U16" s="50"/>
      <c r="V16" s="21"/>
    </row>
    <row r="17" spans="1:22" ht="17.399999999999999" x14ac:dyDescent="0.3">
      <c r="A17" s="61" t="s">
        <v>39</v>
      </c>
      <c r="B17" s="34"/>
      <c r="C17" s="35">
        <v>3</v>
      </c>
      <c r="D17" s="53">
        <v>0</v>
      </c>
      <c r="E17" s="54">
        <v>11.060000000000016</v>
      </c>
      <c r="F17" s="108">
        <v>58.15</v>
      </c>
      <c r="G17" s="108">
        <v>30.79</v>
      </c>
      <c r="H17" s="55">
        <v>31.400024223112517</v>
      </c>
      <c r="I17" s="56">
        <v>19.089726382643434</v>
      </c>
      <c r="J17" s="57">
        <v>12.310297840469083</v>
      </c>
      <c r="K17" s="48">
        <v>24.420001898539713</v>
      </c>
      <c r="L17" s="49">
        <v>1.8129116666666671</v>
      </c>
      <c r="M17" s="49">
        <v>1.4547602338428602</v>
      </c>
      <c r="N17" s="43"/>
      <c r="O17" s="44" t="s">
        <v>40</v>
      </c>
      <c r="P17" s="21"/>
      <c r="Q17" s="50"/>
      <c r="R17" s="31"/>
      <c r="S17" s="50"/>
      <c r="T17" s="47"/>
      <c r="U17" s="50">
        <v>35.941661049170662</v>
      </c>
      <c r="V17" s="21">
        <v>8.8573776567890778</v>
      </c>
    </row>
    <row r="18" spans="1:22" ht="17.399999999999999" x14ac:dyDescent="0.3">
      <c r="A18" s="61" t="s">
        <v>39</v>
      </c>
      <c r="B18" s="51"/>
      <c r="C18" s="35">
        <v>4.5</v>
      </c>
      <c r="D18" s="53">
        <v>28.99</v>
      </c>
      <c r="E18" s="54">
        <v>66.209999999999994</v>
      </c>
      <c r="F18" s="63">
        <f>100-E18-D18</f>
        <v>4.8000000000000078</v>
      </c>
      <c r="G18" s="64"/>
      <c r="H18" s="55"/>
      <c r="I18" s="56" t="s">
        <v>30</v>
      </c>
      <c r="J18" s="57"/>
      <c r="K18" s="48">
        <v>13.690280011322372</v>
      </c>
      <c r="L18" s="49">
        <v>1.7133783333333332</v>
      </c>
      <c r="M18" s="49">
        <v>1.504820839071517</v>
      </c>
      <c r="N18" s="43"/>
      <c r="O18" s="44" t="s">
        <v>41</v>
      </c>
      <c r="P18" s="21"/>
      <c r="Q18" s="50"/>
      <c r="R18" s="31"/>
      <c r="S18" s="50"/>
      <c r="T18" s="47"/>
      <c r="U18" s="50"/>
      <c r="V18" s="21"/>
    </row>
    <row r="19" spans="1:22" ht="17.399999999999999" x14ac:dyDescent="0.3">
      <c r="A19" s="61" t="s">
        <v>39</v>
      </c>
      <c r="B19" s="34"/>
      <c r="C19" s="35">
        <v>6</v>
      </c>
      <c r="D19" s="53">
        <v>0</v>
      </c>
      <c r="E19" s="54">
        <v>99.68</v>
      </c>
      <c r="F19" s="63">
        <f>100-E19-D19</f>
        <v>0.31999999999999318</v>
      </c>
      <c r="G19" s="64"/>
      <c r="H19" s="55"/>
      <c r="I19" s="56" t="s">
        <v>30</v>
      </c>
      <c r="J19" s="57"/>
      <c r="K19" s="48">
        <v>15.21028745006498</v>
      </c>
      <c r="L19" s="49">
        <v>1.733365</v>
      </c>
      <c r="M19" s="49">
        <v>1.503164362267098</v>
      </c>
      <c r="N19" s="43"/>
      <c r="O19" s="44" t="s">
        <v>42</v>
      </c>
      <c r="P19" s="21"/>
      <c r="Q19" s="50"/>
      <c r="R19" s="31"/>
      <c r="S19" s="50"/>
      <c r="T19" s="47"/>
      <c r="U19" s="50"/>
      <c r="V19" s="21"/>
    </row>
    <row r="20" spans="1:22" ht="17.399999999999999" x14ac:dyDescent="0.3">
      <c r="A20" s="61" t="s">
        <v>39</v>
      </c>
      <c r="B20" s="34"/>
      <c r="C20" s="35">
        <v>7.5</v>
      </c>
      <c r="D20" s="53">
        <v>0</v>
      </c>
      <c r="E20" s="54">
        <v>7.4599999999999937</v>
      </c>
      <c r="F20" s="108">
        <v>40.68</v>
      </c>
      <c r="G20" s="108">
        <v>51.86</v>
      </c>
      <c r="H20" s="55">
        <v>52.499193810140817</v>
      </c>
      <c r="I20" s="56">
        <v>26.500018957822498</v>
      </c>
      <c r="J20" s="57">
        <v>25.999174852318319</v>
      </c>
      <c r="K20" s="48">
        <v>33.879963177010694</v>
      </c>
      <c r="L20" s="49">
        <v>1.8968033333333334</v>
      </c>
      <c r="M20" s="49">
        <v>1.414855134064543</v>
      </c>
      <c r="N20" s="43"/>
      <c r="O20" s="44" t="s">
        <v>43</v>
      </c>
      <c r="P20" s="21"/>
      <c r="Q20" s="50"/>
      <c r="R20" s="31"/>
      <c r="S20" s="50"/>
      <c r="T20" s="47"/>
      <c r="U20" s="50">
        <v>25.706566368633176</v>
      </c>
      <c r="V20" s="21">
        <v>9.0572112142059549</v>
      </c>
    </row>
    <row r="21" spans="1:22" ht="17.399999999999999" x14ac:dyDescent="0.3">
      <c r="A21" s="61" t="s">
        <v>39</v>
      </c>
      <c r="B21" s="34"/>
      <c r="C21" s="35">
        <v>9</v>
      </c>
      <c r="D21" s="53">
        <v>0</v>
      </c>
      <c r="E21" s="54">
        <v>67.160000000000025</v>
      </c>
      <c r="F21" s="108">
        <v>20.079999999999998</v>
      </c>
      <c r="G21" s="108">
        <v>12.76</v>
      </c>
      <c r="H21" s="55">
        <v>34.200042238052561</v>
      </c>
      <c r="I21" s="56">
        <v>19.799808623443916</v>
      </c>
      <c r="J21" s="57">
        <v>14.400233614608645</v>
      </c>
      <c r="K21" s="48">
        <v>27.680106412344347</v>
      </c>
      <c r="L21" s="49">
        <v>1.8466116666666668</v>
      </c>
      <c r="M21" s="49">
        <v>1.4452015225067338</v>
      </c>
      <c r="N21" s="43"/>
      <c r="O21" s="44" t="s">
        <v>44</v>
      </c>
      <c r="P21" s="21"/>
      <c r="Q21" s="50"/>
      <c r="R21" s="31"/>
      <c r="S21" s="50"/>
      <c r="T21" s="47"/>
      <c r="U21" s="50"/>
      <c r="V21" s="21"/>
    </row>
    <row r="22" spans="1:22" ht="17.399999999999999" x14ac:dyDescent="0.3">
      <c r="A22" s="61" t="s">
        <v>39</v>
      </c>
      <c r="B22" s="51"/>
      <c r="C22" s="35">
        <v>10.5</v>
      </c>
      <c r="D22" s="53">
        <v>32.86</v>
      </c>
      <c r="E22" s="54">
        <v>10.740000000000002</v>
      </c>
      <c r="F22" s="108">
        <v>33.61</v>
      </c>
      <c r="G22" s="108">
        <v>22.79</v>
      </c>
      <c r="H22" s="55">
        <v>27.000066401200485</v>
      </c>
      <c r="I22" s="56">
        <v>20.554956587846494</v>
      </c>
      <c r="J22" s="57">
        <v>6.4451098133539908</v>
      </c>
      <c r="K22" s="48">
        <v>26.220187840293008</v>
      </c>
      <c r="L22" s="49">
        <v>1.8377866666666665</v>
      </c>
      <c r="M22" s="49">
        <v>1.4525585787530861</v>
      </c>
      <c r="N22" s="43"/>
      <c r="O22" s="44" t="s">
        <v>45</v>
      </c>
      <c r="P22" s="21"/>
      <c r="Q22" s="50"/>
      <c r="R22" s="31"/>
      <c r="S22" s="50"/>
      <c r="T22" s="47"/>
      <c r="U22" s="50"/>
      <c r="V22" s="21"/>
    </row>
    <row r="23" spans="1:22" ht="17.399999999999999" x14ac:dyDescent="0.3">
      <c r="A23" s="61" t="s">
        <v>39</v>
      </c>
      <c r="B23" s="34"/>
      <c r="C23" s="35">
        <v>12</v>
      </c>
      <c r="D23" s="53">
        <v>50.340000000000011</v>
      </c>
      <c r="E23" s="54">
        <v>17.420000000000009</v>
      </c>
      <c r="F23" s="108">
        <v>21.17</v>
      </c>
      <c r="G23" s="108">
        <v>11.07</v>
      </c>
      <c r="H23" s="55">
        <v>33.500000742773317</v>
      </c>
      <c r="I23" s="56">
        <v>18.979803815693906</v>
      </c>
      <c r="J23" s="57">
        <v>14.520196927079411</v>
      </c>
      <c r="K23" s="48">
        <v>28.170003470462401</v>
      </c>
      <c r="L23" s="49">
        <v>1.8349500000000001</v>
      </c>
      <c r="M23" s="49">
        <v>1.4297965492863842</v>
      </c>
      <c r="N23" s="43"/>
      <c r="O23" s="44" t="s">
        <v>36</v>
      </c>
      <c r="P23" s="21"/>
      <c r="Q23" s="50"/>
      <c r="R23" s="31"/>
      <c r="S23" s="50"/>
      <c r="T23" s="47"/>
      <c r="U23" s="50">
        <v>23.211767719462713</v>
      </c>
      <c r="V23" s="21">
        <v>7.0496398996236875</v>
      </c>
    </row>
    <row r="24" spans="1:22" ht="17.399999999999999" x14ac:dyDescent="0.3">
      <c r="A24" s="61" t="s">
        <v>39</v>
      </c>
      <c r="B24" s="34"/>
      <c r="C24" s="35">
        <v>13.5</v>
      </c>
      <c r="D24" s="53">
        <v>47.680000000000007</v>
      </c>
      <c r="E24" s="54">
        <v>16.840000000000003</v>
      </c>
      <c r="F24" s="108">
        <v>21.86</v>
      </c>
      <c r="G24" s="108">
        <v>13.62</v>
      </c>
      <c r="H24" s="55">
        <v>32.400108587071969</v>
      </c>
      <c r="I24" s="56">
        <v>21.1244392440043</v>
      </c>
      <c r="J24" s="57">
        <v>11.275669343067669</v>
      </c>
      <c r="K24" s="48">
        <v>28.919997944695858</v>
      </c>
      <c r="L24" s="49">
        <v>1.8395849999999996</v>
      </c>
      <c r="M24" s="49">
        <v>1.4244892231849435</v>
      </c>
      <c r="N24" s="43"/>
      <c r="O24" s="44" t="s">
        <v>36</v>
      </c>
      <c r="P24" s="21"/>
      <c r="Q24" s="50"/>
      <c r="R24" s="31"/>
      <c r="S24" s="50"/>
      <c r="T24" s="47"/>
      <c r="U24" s="50"/>
      <c r="V24" s="21"/>
    </row>
    <row r="25" spans="1:22" ht="17.399999999999999" x14ac:dyDescent="0.3">
      <c r="A25" s="61" t="s">
        <v>39</v>
      </c>
      <c r="B25" s="51"/>
      <c r="C25" s="35">
        <v>16.5</v>
      </c>
      <c r="D25" s="53">
        <v>6.3600000000000136</v>
      </c>
      <c r="E25" s="54">
        <v>17.540000000000006</v>
      </c>
      <c r="F25" s="108">
        <v>34.15</v>
      </c>
      <c r="G25" s="108">
        <v>41.95</v>
      </c>
      <c r="H25" s="55">
        <v>42.100003622806511</v>
      </c>
      <c r="I25" s="56">
        <v>21.909483033684726</v>
      </c>
      <c r="J25" s="57">
        <v>20.190520589121785</v>
      </c>
      <c r="K25" s="48">
        <v>29.539644652504226</v>
      </c>
      <c r="L25" s="49">
        <v>1.85616</v>
      </c>
      <c r="M25" s="49">
        <v>1.4311307860483786</v>
      </c>
      <c r="N25" s="43"/>
      <c r="O25" s="44" t="s">
        <v>46</v>
      </c>
      <c r="P25" s="21"/>
      <c r="Q25" s="50"/>
      <c r="R25" s="31"/>
      <c r="S25" s="50"/>
      <c r="T25" s="47"/>
      <c r="U25" s="50">
        <v>70.391079418122729</v>
      </c>
      <c r="V25" s="21">
        <v>9.0970144919292508</v>
      </c>
    </row>
    <row r="26" spans="1:22" ht="17.399999999999999" x14ac:dyDescent="0.3">
      <c r="A26" s="61" t="s">
        <v>47</v>
      </c>
      <c r="B26" s="34"/>
      <c r="C26" s="35">
        <v>1.5</v>
      </c>
      <c r="D26" s="53">
        <v>0</v>
      </c>
      <c r="E26" s="54">
        <v>19.64</v>
      </c>
      <c r="F26" s="108">
        <v>50.57</v>
      </c>
      <c r="G26" s="108">
        <v>29.79</v>
      </c>
      <c r="H26" s="55">
        <v>29.200389470942198</v>
      </c>
      <c r="I26" s="56">
        <v>18.469905874566351</v>
      </c>
      <c r="J26" s="57">
        <v>10.730483596375848</v>
      </c>
      <c r="K26" s="48">
        <v>25.340130283219253</v>
      </c>
      <c r="L26" s="49">
        <v>1.8374833333333331</v>
      </c>
      <c r="M26" s="49">
        <v>1.4641867382313574</v>
      </c>
      <c r="N26" s="43"/>
      <c r="O26" s="44" t="s">
        <v>35</v>
      </c>
      <c r="P26" s="21"/>
      <c r="Q26" s="50"/>
      <c r="R26" s="31"/>
      <c r="S26" s="50"/>
      <c r="T26" s="47"/>
      <c r="U26" s="50"/>
      <c r="V26" s="21"/>
    </row>
    <row r="27" spans="1:22" ht="17.399999999999999" x14ac:dyDescent="0.3">
      <c r="A27" s="61" t="s">
        <v>47</v>
      </c>
      <c r="B27" s="34"/>
      <c r="C27" s="35">
        <v>3</v>
      </c>
      <c r="D27" s="53">
        <v>0</v>
      </c>
      <c r="E27" s="54">
        <v>3.1400000000000148</v>
      </c>
      <c r="F27" s="108">
        <v>44.98</v>
      </c>
      <c r="G27" s="108">
        <v>51.88</v>
      </c>
      <c r="H27" s="55">
        <v>51.500001151363293</v>
      </c>
      <c r="I27" s="56">
        <v>23.880004687560586</v>
      </c>
      <c r="J27" s="57">
        <v>27.619996463802707</v>
      </c>
      <c r="K27" s="48">
        <v>33.809956272693164</v>
      </c>
      <c r="L27" s="49">
        <v>1.8663227494692147</v>
      </c>
      <c r="M27" s="49">
        <v>1.3913659649963153</v>
      </c>
      <c r="N27" s="43"/>
      <c r="O27" s="44" t="s">
        <v>43</v>
      </c>
      <c r="P27" s="21"/>
      <c r="Q27" s="50"/>
      <c r="R27" s="31"/>
      <c r="S27" s="50"/>
      <c r="T27" s="47"/>
      <c r="U27" s="50"/>
      <c r="V27" s="21"/>
    </row>
    <row r="28" spans="1:22" ht="17.399999999999999" x14ac:dyDescent="0.3">
      <c r="A28" s="61" t="s">
        <v>47</v>
      </c>
      <c r="B28" s="34"/>
      <c r="C28" s="35">
        <v>4.5</v>
      </c>
      <c r="D28" s="53">
        <v>27.71</v>
      </c>
      <c r="E28" s="54">
        <v>58.29</v>
      </c>
      <c r="F28" s="63">
        <f>100-E28-D28</f>
        <v>14</v>
      </c>
      <c r="G28" s="64"/>
      <c r="H28" s="55"/>
      <c r="I28" s="56" t="s">
        <v>30</v>
      </c>
      <c r="J28" s="57"/>
      <c r="K28" s="48">
        <v>16.670151505585032</v>
      </c>
      <c r="L28" s="49">
        <v>1.7615883333333333</v>
      </c>
      <c r="M28" s="49">
        <v>1.505778566864626</v>
      </c>
      <c r="N28" s="43"/>
      <c r="O28" s="44" t="s">
        <v>48</v>
      </c>
      <c r="P28" s="21"/>
      <c r="Q28" s="50"/>
      <c r="R28" s="31"/>
      <c r="S28" s="50"/>
      <c r="T28" s="47"/>
      <c r="U28" s="50">
        <v>6.9808001452471835</v>
      </c>
      <c r="V28" s="21">
        <v>27.492279452853829</v>
      </c>
    </row>
    <row r="29" spans="1:22" ht="17.399999999999999" x14ac:dyDescent="0.3">
      <c r="A29" s="61" t="s">
        <v>47</v>
      </c>
      <c r="B29" s="34"/>
      <c r="C29" s="35">
        <v>6</v>
      </c>
      <c r="D29" s="53">
        <v>10.68</v>
      </c>
      <c r="E29" s="54">
        <v>82.36</v>
      </c>
      <c r="F29" s="63">
        <f>100-E29-D29</f>
        <v>6.9600000000000009</v>
      </c>
      <c r="G29" s="64"/>
      <c r="H29" s="55"/>
      <c r="I29" s="56" t="s">
        <v>30</v>
      </c>
      <c r="J29" s="57"/>
      <c r="K29" s="48">
        <v>12.970004218753148</v>
      </c>
      <c r="L29" s="49">
        <v>1.7449833333333331</v>
      </c>
      <c r="M29" s="49">
        <v>1.5415528479099052</v>
      </c>
      <c r="N29" s="62"/>
      <c r="O29" s="44" t="s">
        <v>33</v>
      </c>
      <c r="P29" s="21"/>
      <c r="Q29" s="50"/>
      <c r="R29" s="31"/>
      <c r="S29" s="50"/>
      <c r="T29" s="47"/>
      <c r="U29" s="50"/>
      <c r="V29" s="21"/>
    </row>
    <row r="30" spans="1:22" ht="17.399999999999999" x14ac:dyDescent="0.3">
      <c r="A30" s="61" t="s">
        <v>47</v>
      </c>
      <c r="B30" s="34"/>
      <c r="C30" s="35">
        <v>7.5</v>
      </c>
      <c r="D30" s="53">
        <v>0</v>
      </c>
      <c r="E30" s="54">
        <v>21.300000000000011</v>
      </c>
      <c r="F30" s="108">
        <v>38.86</v>
      </c>
      <c r="G30" s="108">
        <v>39.840000000000003</v>
      </c>
      <c r="H30" s="55">
        <v>38.000004341553939</v>
      </c>
      <c r="I30" s="56">
        <v>22.850006159876855</v>
      </c>
      <c r="J30" s="57">
        <v>15.149998181677084</v>
      </c>
      <c r="K30" s="48">
        <v>31.309937250461228</v>
      </c>
      <c r="L30" s="49">
        <v>1.8564933333333336</v>
      </c>
      <c r="M30" s="49">
        <v>1.4114660847460119</v>
      </c>
      <c r="N30" s="62"/>
      <c r="O30" s="44" t="s">
        <v>46</v>
      </c>
      <c r="P30" s="21"/>
      <c r="Q30" s="50"/>
      <c r="R30" s="31"/>
      <c r="S30" s="50"/>
      <c r="T30" s="47"/>
      <c r="U30" s="50"/>
      <c r="V30" s="21"/>
    </row>
    <row r="31" spans="1:22" ht="17.399999999999999" x14ac:dyDescent="0.3">
      <c r="A31" s="61" t="s">
        <v>47</v>
      </c>
      <c r="B31" s="34"/>
      <c r="C31" s="35">
        <v>9</v>
      </c>
      <c r="D31" s="53">
        <v>0</v>
      </c>
      <c r="E31" s="54">
        <v>68.819999999999993</v>
      </c>
      <c r="F31" s="63">
        <f>100-E31-D31</f>
        <v>31.180000000000007</v>
      </c>
      <c r="G31" s="64"/>
      <c r="H31" s="55"/>
      <c r="I31" s="56" t="s">
        <v>30</v>
      </c>
      <c r="J31" s="57"/>
      <c r="K31" s="48">
        <v>14.13000186793813</v>
      </c>
      <c r="L31" s="49">
        <v>1.7278733333333332</v>
      </c>
      <c r="M31" s="49">
        <v>1.5099459776749355</v>
      </c>
      <c r="N31" s="62"/>
      <c r="O31" s="44" t="s">
        <v>34</v>
      </c>
      <c r="P31" s="21"/>
      <c r="Q31" s="50"/>
      <c r="R31" s="31"/>
      <c r="S31" s="50"/>
      <c r="T31" s="47"/>
      <c r="U31" s="50"/>
      <c r="V31" s="21"/>
    </row>
    <row r="32" spans="1:22" ht="17.399999999999999" x14ac:dyDescent="0.3">
      <c r="A32" s="61" t="s">
        <v>47</v>
      </c>
      <c r="B32" s="34"/>
      <c r="C32" s="35">
        <v>10.5</v>
      </c>
      <c r="D32" s="53">
        <v>55.480000000000018</v>
      </c>
      <c r="E32" s="54">
        <v>17.22</v>
      </c>
      <c r="F32" s="108">
        <v>13.02</v>
      </c>
      <c r="G32" s="108">
        <v>14.28</v>
      </c>
      <c r="H32" s="55">
        <v>44.900571521643556</v>
      </c>
      <c r="I32" s="56">
        <v>22.81500094843873</v>
      </c>
      <c r="J32" s="57">
        <v>22.085570573204826</v>
      </c>
      <c r="K32" s="48">
        <v>30.510176353189472</v>
      </c>
      <c r="L32" s="49">
        <v>1.8782683333333325</v>
      </c>
      <c r="M32" s="49">
        <v>1.4365513628476689</v>
      </c>
      <c r="N32" s="62"/>
      <c r="O32" s="44" t="s">
        <v>36</v>
      </c>
      <c r="P32" s="21"/>
      <c r="Q32" s="50"/>
      <c r="R32" s="31"/>
      <c r="S32" s="50"/>
      <c r="T32" s="47"/>
      <c r="U32" s="50">
        <v>22.458946119054634</v>
      </c>
      <c r="V32" s="21">
        <v>12.338656467263169</v>
      </c>
    </row>
    <row r="33" spans="1:22" ht="17.399999999999999" x14ac:dyDescent="0.3">
      <c r="A33" s="61" t="s">
        <v>47</v>
      </c>
      <c r="B33" s="34"/>
      <c r="C33" s="35">
        <v>12</v>
      </c>
      <c r="D33" s="53">
        <v>22.78</v>
      </c>
      <c r="E33" s="54">
        <v>75.72</v>
      </c>
      <c r="F33" s="63">
        <f>100-E33-D33</f>
        <v>1.5</v>
      </c>
      <c r="G33" s="64"/>
      <c r="H33" s="55"/>
      <c r="I33" s="56" t="s">
        <v>30</v>
      </c>
      <c r="J33" s="57"/>
      <c r="K33" s="48">
        <v>13.870078162838995</v>
      </c>
      <c r="L33" s="49">
        <v>1.7408649999999997</v>
      </c>
      <c r="M33" s="49">
        <v>1.5260844875473254</v>
      </c>
      <c r="N33" s="62"/>
      <c r="O33" s="44" t="s">
        <v>41</v>
      </c>
      <c r="P33" s="21"/>
      <c r="Q33" s="50"/>
      <c r="R33" s="31"/>
      <c r="S33" s="50"/>
      <c r="T33" s="47"/>
      <c r="U33" s="50"/>
      <c r="V33" s="21"/>
    </row>
    <row r="34" spans="1:22" ht="17.399999999999999" x14ac:dyDescent="0.3">
      <c r="A34" s="61" t="s">
        <v>47</v>
      </c>
      <c r="B34" s="34"/>
      <c r="C34" s="35">
        <v>13.5</v>
      </c>
      <c r="D34" s="53">
        <v>56.960000000000015</v>
      </c>
      <c r="E34" s="54">
        <v>19.140000000000008</v>
      </c>
      <c r="F34" s="108">
        <v>13.59</v>
      </c>
      <c r="G34" s="108">
        <v>10.31</v>
      </c>
      <c r="H34" s="55">
        <v>33.500001611492053</v>
      </c>
      <c r="I34" s="56">
        <v>18.30994251982678</v>
      </c>
      <c r="J34" s="57">
        <v>15.190059091665272</v>
      </c>
      <c r="K34" s="48">
        <v>23.360090673704413</v>
      </c>
      <c r="L34" s="49">
        <v>1.8486133333333334</v>
      </c>
      <c r="M34" s="49">
        <v>1.4952109016732262</v>
      </c>
      <c r="N34" s="62"/>
      <c r="O34" s="44" t="s">
        <v>36</v>
      </c>
      <c r="P34" s="21"/>
      <c r="Q34" s="50"/>
      <c r="R34" s="31"/>
      <c r="S34" s="50"/>
      <c r="T34" s="47"/>
      <c r="U34" s="50">
        <v>22.70842598397169</v>
      </c>
      <c r="V34" s="21">
        <v>12.533956713733438</v>
      </c>
    </row>
    <row r="35" spans="1:22" ht="17.399999999999999" x14ac:dyDescent="0.3">
      <c r="A35" s="61" t="s">
        <v>47</v>
      </c>
      <c r="B35" s="34"/>
      <c r="C35" s="35">
        <v>16.5</v>
      </c>
      <c r="D35" s="53">
        <v>0</v>
      </c>
      <c r="E35" s="54">
        <v>14.760000000000005</v>
      </c>
      <c r="F35" s="108">
        <v>26.45</v>
      </c>
      <c r="G35" s="108">
        <v>58.79</v>
      </c>
      <c r="H35" s="55">
        <v>60.09999841256662</v>
      </c>
      <c r="I35" s="56">
        <v>26.680005360514784</v>
      </c>
      <c r="J35" s="57">
        <v>33.419993052051836</v>
      </c>
      <c r="K35" s="48">
        <v>33.599934993192399</v>
      </c>
      <c r="L35" s="49">
        <v>1.8876966666666668</v>
      </c>
      <c r="M35" s="49">
        <v>1.4107709767641605</v>
      </c>
      <c r="N35" s="62"/>
      <c r="O35" s="44" t="s">
        <v>38</v>
      </c>
      <c r="P35" s="21"/>
      <c r="Q35" s="50"/>
      <c r="R35" s="31"/>
      <c r="S35" s="50"/>
      <c r="T35" s="47"/>
      <c r="U35" s="50"/>
      <c r="V35" s="21"/>
    </row>
  </sheetData>
  <mergeCells count="27">
    <mergeCell ref="A1:A4"/>
    <mergeCell ref="B1:B4"/>
    <mergeCell ref="C1:C4"/>
    <mergeCell ref="D1:D3"/>
    <mergeCell ref="E1:E3"/>
    <mergeCell ref="U1:V2"/>
    <mergeCell ref="F5:G5"/>
    <mergeCell ref="G1:G3"/>
    <mergeCell ref="H1:J2"/>
    <mergeCell ref="K1:K3"/>
    <mergeCell ref="L1:L3"/>
    <mergeCell ref="M1:M3"/>
    <mergeCell ref="N1:N3"/>
    <mergeCell ref="F1:F3"/>
    <mergeCell ref="O1:O4"/>
    <mergeCell ref="P1:P4"/>
    <mergeCell ref="Q1:R2"/>
    <mergeCell ref="S1:T2"/>
    <mergeCell ref="F7:G7"/>
    <mergeCell ref="F8:G8"/>
    <mergeCell ref="F10:G10"/>
    <mergeCell ref="F18:G18"/>
    <mergeCell ref="F19:G19"/>
    <mergeCell ref="F28:G28"/>
    <mergeCell ref="F29:G29"/>
    <mergeCell ref="F31:G31"/>
    <mergeCell ref="F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 Senel</dc:creator>
  <cp:lastModifiedBy>Chris Green</cp:lastModifiedBy>
  <dcterms:created xsi:type="dcterms:W3CDTF">2015-06-05T18:19:34Z</dcterms:created>
  <dcterms:modified xsi:type="dcterms:W3CDTF">2026-04-03T14:17:50Z</dcterms:modified>
</cp:coreProperties>
</file>