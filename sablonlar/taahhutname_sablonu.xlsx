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Users\Bugra Senel\Desktop\Kapak\"/>
    </mc:Choice>
  </mc:AlternateContent>
  <xr:revisionPtr revIDLastSave="0" documentId="13_ncr:1_{C3B30127-39AB-413F-89BF-142E77CF4ABE}" xr6:coauthVersionLast="47" xr6:coauthVersionMax="47" xr10:uidLastSave="{00000000-0000-0000-0000-000000000000}"/>
  <bookViews>
    <workbookView xWindow="-108" yWindow="-108" windowWidth="23256" windowHeight="12576" tabRatio="680" activeTab="3" xr2:uid="{00000000-000D-0000-FFFF-FFFF00000000}"/>
  </bookViews>
  <sheets>
    <sheet name="ANA SAYFA" sheetId="4" r:id="rId1"/>
    <sheet name="ÖN ARKA KAPAK" sheetId="5" r:id="rId2"/>
    <sheet name="SD" sheetId="11" r:id="rId3"/>
    <sheet name="tahhütname" sheetId="2" r:id="rId4"/>
    <sheet name="Mal Sahibi" sheetId="12" r:id="rId5"/>
    <sheet name="Listeler" sheetId="13" r:id="rId6"/>
  </sheets>
  <definedNames>
    <definedName name="Ada" localSheetId="0">'ANA SAYFA'!$C$8</definedName>
    <definedName name="idare">Listeler!$A$2:$A$14</definedName>
    <definedName name="idare1">Listeler!$A$2:$A$16</definedName>
    <definedName name="İlçe" localSheetId="0">'ANA SAYFA'!$C$4</definedName>
    <definedName name="Mahalle" localSheetId="0">'ANA SAYFA'!$C$5</definedName>
    <definedName name="Mevkii" localSheetId="0">'ANA SAYFA'!$C$6</definedName>
    <definedName name="Pafta" localSheetId="0">'ANA SAYFA'!$C$7</definedName>
    <definedName name="Parsel" localSheetId="0">'ANA SAYFA'!$C$9</definedName>
    <definedName name="Sahibi" localSheetId="0">'ANA SAYFA'!$C$2</definedName>
    <definedName name="_xlnm.Print_Area" localSheetId="4">'Mal Sahibi'!$A$2:$I$30</definedName>
    <definedName name="_xlnm.Print_Area" localSheetId="3">tahhütname!$A$1:$AA$48</definedName>
    <definedName name="z">Listeler!$A$2:$A$14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11" l="1"/>
  <c r="F30" i="2"/>
  <c r="O30" i="2" l="1"/>
  <c r="D13" i="2" l="1"/>
  <c r="M13" i="2" s="1"/>
  <c r="R22" i="11" l="1"/>
  <c r="R21" i="11"/>
  <c r="R20" i="11"/>
  <c r="R19" i="11"/>
  <c r="R18" i="11"/>
  <c r="R17" i="11"/>
  <c r="R16" i="11"/>
  <c r="J22" i="11" l="1"/>
  <c r="J21" i="11"/>
  <c r="B22" i="11" l="1"/>
  <c r="B21" i="11"/>
  <c r="G13" i="2" l="1"/>
  <c r="F13" i="2"/>
  <c r="D20" i="5" l="1"/>
  <c r="D22" i="5"/>
  <c r="J20" i="11" l="1"/>
  <c r="J19" i="11"/>
  <c r="J18" i="11"/>
  <c r="J17" i="11"/>
  <c r="J16" i="11"/>
  <c r="A34" i="5"/>
  <c r="D8" i="5"/>
  <c r="D12" i="5"/>
  <c r="B20" i="11"/>
  <c r="B19" i="11"/>
  <c r="B16" i="11"/>
  <c r="B18" i="11"/>
  <c r="B17" i="11"/>
  <c r="D10" i="5"/>
  <c r="B14" i="5"/>
  <c r="D14" i="5"/>
  <c r="D18" i="5"/>
  <c r="D12" i="2" l="1"/>
  <c r="M12" i="2" s="1"/>
  <c r="C20" i="12" l="1"/>
  <c r="C18" i="12"/>
  <c r="C17" i="12"/>
  <c r="C16" i="12"/>
  <c r="C15" i="12"/>
  <c r="E11" i="2" l="1"/>
  <c r="N11" i="2" s="1"/>
  <c r="D16" i="2" l="1"/>
  <c r="D14" i="2" s="1"/>
  <c r="M16" i="2" l="1"/>
  <c r="V16" i="2" s="1"/>
  <c r="P13" i="2" l="1"/>
  <c r="Y13" i="2" s="1"/>
  <c r="D15" i="2" l="1"/>
  <c r="M15" i="2" s="1"/>
  <c r="V15" i="2" s="1"/>
  <c r="M14" i="2"/>
  <c r="V14" i="2" s="1"/>
  <c r="V13" i="2"/>
  <c r="V12" i="2"/>
  <c r="D11" i="2"/>
  <c r="M11" i="2" s="1"/>
  <c r="V11" i="2" s="1"/>
  <c r="D16" i="5" l="1"/>
  <c r="O13" i="2"/>
  <c r="X13" i="2" s="1"/>
  <c r="C19" i="12"/>
</calcChain>
</file>

<file path=xl/sharedStrings.xml><?xml version="1.0" encoding="utf-8"?>
<sst xmlns="http://schemas.openxmlformats.org/spreadsheetml/2006/main" count="238" uniqueCount="115">
  <si>
    <t>İŞİ ADI</t>
  </si>
  <si>
    <t>İL</t>
  </si>
  <si>
    <t>İLÇE</t>
  </si>
  <si>
    <t>Pafta</t>
  </si>
  <si>
    <t xml:space="preserve">Ada </t>
  </si>
  <si>
    <t>Parsel</t>
  </si>
  <si>
    <t>TAAHHÜTNAME</t>
  </si>
  <si>
    <t>Oda Sicil No    :1982</t>
  </si>
  <si>
    <t>Müellifliği Üstlenilen Proje</t>
  </si>
  <si>
    <t>Suat ERGİN</t>
  </si>
  <si>
    <t>Jeofizik Mühendisi</t>
  </si>
  <si>
    <t>İmza</t>
  </si>
  <si>
    <t>:</t>
  </si>
  <si>
    <t xml:space="preserve">Unvanı           </t>
  </si>
  <si>
    <t>JEOFİZİK MÜHENDİSİ</t>
  </si>
  <si>
    <t xml:space="preserve">Adresi             </t>
  </si>
  <si>
    <t xml:space="preserve">0 532 281 12 95 </t>
  </si>
  <si>
    <t xml:space="preserve">İl / İlçe                            </t>
  </si>
  <si>
    <t xml:space="preserve">İlgili İdare                   </t>
  </si>
  <si>
    <t xml:space="preserve">Pafta/Ada/Parsel No        </t>
  </si>
  <si>
    <t xml:space="preserve">Yapı Adresi                    </t>
  </si>
  <si>
    <t xml:space="preserve">Yapı Sahibi                </t>
  </si>
  <si>
    <t xml:space="preserve">Yapı Sahibinin Adresi   </t>
  </si>
  <si>
    <t xml:space="preserve">Projenin Türü                 </t>
  </si>
  <si>
    <t>ZEMİN ETÜDÜ RAPORU</t>
  </si>
  <si>
    <t>İlgili İdare</t>
  </si>
  <si>
    <t>Yapı Adresi</t>
  </si>
  <si>
    <t>JEOLOJİ MÜHENDİSİ</t>
  </si>
  <si>
    <t>0 545 639 90 62</t>
  </si>
  <si>
    <t>Gökalp DOĞAN</t>
  </si>
  <si>
    <t>Jeoloji Mühendisi</t>
  </si>
  <si>
    <t>ÇANAKKALE BELEDİYESİ BAŞKANLIĞI’NA</t>
  </si>
  <si>
    <t>(İmar ve Şehircilik Müdürlüğü)</t>
  </si>
  <si>
    <t>Gereğinin yapılmasını arz ederiz.</t>
  </si>
  <si>
    <t>KONU</t>
  </si>
  <si>
    <t>SAYI</t>
  </si>
  <si>
    <t xml:space="preserve">: </t>
  </si>
  <si>
    <t>Çanakkale Belediyesi</t>
  </si>
  <si>
    <t>Kat adeti</t>
  </si>
  <si>
    <t>TC. Çanakkale İl Özel İdaresi İmar ve Kentsel İyileştirme Müdürlüğü</t>
  </si>
  <si>
    <t>Çan Belediyesi</t>
  </si>
  <si>
    <t>Kepez Belediyesi</t>
  </si>
  <si>
    <t>Geyikli Belediyesi</t>
  </si>
  <si>
    <t>Çardak Belediyesi</t>
  </si>
  <si>
    <t>Ezine Belediyesi</t>
  </si>
  <si>
    <t>Biga Belediyesi</t>
  </si>
  <si>
    <t>İnşaat Mühendisi</t>
  </si>
  <si>
    <t>Projeye Ait Bilgiler</t>
  </si>
  <si>
    <t>İşin Adı     :</t>
  </si>
  <si>
    <t>Mahalle   :</t>
  </si>
  <si>
    <t xml:space="preserve">No:48 Da:1      ÇANAKKALE      </t>
  </si>
  <si>
    <t xml:space="preserve">Mal Sahibi </t>
  </si>
  <si>
    <t xml:space="preserve">Ad Soyad </t>
  </si>
  <si>
    <t>İl</t>
  </si>
  <si>
    <t>İlçe</t>
  </si>
  <si>
    <t>Mahalle</t>
  </si>
  <si>
    <t>Ekler</t>
  </si>
  <si>
    <t>Jeofizik Mühendisi Taahütnamesi</t>
  </si>
  <si>
    <t>İnşaat Mühendisi Taahütnamesi</t>
  </si>
  <si>
    <t>Temel Aplikasyon ve Kesitleri Fotokopisi</t>
  </si>
  <si>
    <t>.</t>
  </si>
  <si>
    <t>Jeoloji Mühendisi Taahütnamesi</t>
  </si>
  <si>
    <t>Tapu ve İmar Durumu Fotokopisi</t>
  </si>
  <si>
    <t>TC NO</t>
  </si>
  <si>
    <t>Tel: 05322811295</t>
  </si>
  <si>
    <t>Geoteknik Rapor (2 adet)</t>
  </si>
  <si>
    <t>:Arazi Çalışması</t>
  </si>
  <si>
    <t>Zemin Etüdü  (2adet )</t>
  </si>
  <si>
    <t>Bayramiç Belediyesi</t>
  </si>
  <si>
    <t>Eceabat Belediyesi</t>
  </si>
  <si>
    <t>Ayvacık Belediyesi</t>
  </si>
  <si>
    <t>Bozcaada Belediyesi</t>
  </si>
  <si>
    <t>İl               :</t>
  </si>
  <si>
    <t xml:space="preserve">İlçe           : </t>
  </si>
  <si>
    <t>Pafta        :</t>
  </si>
  <si>
    <t>Ada          :</t>
  </si>
  <si>
    <t>Parsel      :</t>
  </si>
  <si>
    <t xml:space="preserve">  </t>
  </si>
  <si>
    <t>MEVKİİ</t>
  </si>
  <si>
    <t>Gökçeada Belediyesi</t>
  </si>
  <si>
    <t xml:space="preserve"> </t>
  </si>
  <si>
    <t>Odunluk Mah. Lefkoşe Cd. Mihraplı Plaza Kat:3 No:10 Nilüfer / BURSA</t>
  </si>
  <si>
    <t>0(542)545 68 45</t>
  </si>
  <si>
    <t>TC:21739947114</t>
  </si>
  <si>
    <t xml:space="preserve">Telefonu   </t>
  </si>
  <si>
    <t>Telefonu</t>
  </si>
  <si>
    <t>İnşaat Yük. Mühendisi (Geoteknik)</t>
  </si>
  <si>
    <t>Geoteknik Rapor</t>
  </si>
  <si>
    <t xml:space="preserve">    </t>
  </si>
  <si>
    <t>Sahibi</t>
  </si>
  <si>
    <t>İli</t>
  </si>
  <si>
    <t>İlçesi</t>
  </si>
  <si>
    <t>Mevkii</t>
  </si>
  <si>
    <t>Pafta No</t>
  </si>
  <si>
    <t>Ada No</t>
  </si>
  <si>
    <t>Parsel No</t>
  </si>
  <si>
    <t>Nesrin Selcen TÜRKYILMAZ</t>
  </si>
  <si>
    <t>Lapseki Belediyesi</t>
  </si>
  <si>
    <t>Çevreve Şehircilik İl Müdürlüğü</t>
  </si>
  <si>
    <t>Köy           :</t>
  </si>
  <si>
    <t>:2017 /03_JF</t>
  </si>
  <si>
    <t>İsmetpaşa Mh. Hasan Mevsuf Sk. No :4 Da:5</t>
  </si>
  <si>
    <t>Çanakkale</t>
  </si>
  <si>
    <t>HAZIRLAYAN</t>
  </si>
  <si>
    <t>UB ZEMİN MÜHENDİSLİK</t>
  </si>
  <si>
    <t>İsmetpaşa Mh. Hasan Mevsuf Sk. No :4 Da:5 MERKEZ/ÇANAKKALE</t>
  </si>
  <si>
    <t>Tel : 0 286 213 06 69</t>
  </si>
  <si>
    <t>Şubat 2019</t>
  </si>
  <si>
    <t>JEOLOJİK-JEOFİZİK VERİ RAPORU VE</t>
  </si>
  <si>
    <t>JEOTEKNİK ETÜT RAPORU</t>
  </si>
  <si>
    <t>AY-TOKLAR Mob. Gıd. Tur. Ltd. Şti.</t>
  </si>
  <si>
    <t>Bayramiç</t>
  </si>
  <si>
    <t>Camicedit</t>
  </si>
  <si>
    <t>-</t>
  </si>
  <si>
    <t>Camicedit Mah. Bayramiç Çanakkale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</si>
</sst>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1"/>
      <color theme="1"/>
      <name val="Calibri"/>
      <family val="2"/>
      <charset val="162"/>
      <scheme val="minor"/>
    </font>
    <font>
      <sz val="11"/>
      <color rgb="FFFF0000"/>
      <name val="Calibri"/>
      <family val="2"/>
      <charset val="162"/>
      <scheme val="minor"/>
    </font>
    <font>
      <b/>
      <sz val="11"/>
      <color theme="1"/>
      <name val="Calibri"/>
      <family val="2"/>
      <charset val="162"/>
      <scheme val="minor"/>
    </font>
    <font>
      <b/>
      <sz val="11"/>
      <color theme="1"/>
      <name val="Times New Roman"/>
      <family val="1"/>
      <charset val="162"/>
    </font>
    <font>
      <sz val="11"/>
      <color theme="1"/>
      <name val="Times New Roman"/>
      <family val="1"/>
      <charset val="162"/>
    </font>
    <font>
      <b/>
      <sz val="10"/>
      <color theme="1"/>
      <name val="Times New Roman"/>
      <family val="1"/>
      <charset val="162"/>
    </font>
    <font>
      <sz val="10"/>
      <color rgb="FFFF0000"/>
      <name val="Times New Roman"/>
      <family val="1"/>
      <charset val="162"/>
    </font>
    <font>
      <sz val="12"/>
      <color theme="1"/>
      <name val="Times New Roman"/>
      <family val="1"/>
      <charset val="162"/>
    </font>
    <font>
      <sz val="11"/>
      <name val="Calibri"/>
      <family val="2"/>
      <charset val="162"/>
      <scheme val="minor"/>
    </font>
    <font>
      <b/>
      <sz val="11"/>
      <color rgb="FFFF0000"/>
      <name val="Calibri"/>
      <family val="2"/>
      <charset val="162"/>
      <scheme val="minor"/>
    </font>
    <font>
      <sz val="12"/>
      <name val="Calibri"/>
      <family val="2"/>
      <charset val="162"/>
      <scheme val="minor"/>
    </font>
    <font>
      <sz val="11"/>
      <color theme="1"/>
      <name val="Cambria"/>
      <family val="1"/>
      <charset val="162"/>
      <scheme val="major"/>
    </font>
    <font>
      <sz val="10"/>
      <color theme="1"/>
      <name val="Calibri"/>
      <family val="2"/>
      <charset val="162"/>
      <scheme val="minor"/>
    </font>
    <font>
      <u/>
      <sz val="11"/>
      <color theme="1"/>
      <name val="Calibri"/>
      <family val="2"/>
      <charset val="162"/>
      <scheme val="minor"/>
    </font>
    <font>
      <sz val="11"/>
      <color theme="0" tint="-0.249977111117893"/>
      <name val="Calibri"/>
      <family val="2"/>
      <charset val="162"/>
      <scheme val="minor"/>
    </font>
    <font>
      <sz val="11"/>
      <color theme="0" tint="-0.14999847407452621"/>
      <name val="Calibri"/>
      <family val="2"/>
      <charset val="162"/>
      <scheme val="minor"/>
    </font>
    <font>
      <b/>
      <sz val="14"/>
      <name val="Times New Roman"/>
      <family val="1"/>
      <charset val="162"/>
    </font>
    <font>
      <sz val="14"/>
      <name val="Calibri"/>
      <family val="2"/>
      <charset val="162"/>
      <scheme val="minor"/>
    </font>
    <font>
      <b/>
      <sz val="16"/>
      <name val="Times New Roman"/>
      <family val="1"/>
      <charset val="162"/>
    </font>
    <font>
      <b/>
      <sz val="16"/>
      <name val="Calibri"/>
      <family val="2"/>
      <charset val="162"/>
      <scheme val="minor"/>
    </font>
    <font>
      <b/>
      <sz val="26"/>
      <color theme="1"/>
      <name val="Times New Roman"/>
      <family val="1"/>
      <charset val="162"/>
    </font>
    <font>
      <b/>
      <u/>
      <sz val="20"/>
      <color theme="1"/>
      <name val="Times New Roman"/>
      <family val="1"/>
      <charset val="162"/>
    </font>
    <font>
      <b/>
      <sz val="22"/>
      <color theme="1"/>
      <name val="Times New Roman"/>
      <family val="1"/>
      <charset val="162"/>
    </font>
    <font>
      <b/>
      <sz val="12"/>
      <color theme="1"/>
      <name val="Times New Roman"/>
      <family val="1"/>
      <charset val="162"/>
    </font>
    <font>
      <b/>
      <sz val="16"/>
      <color theme="1"/>
      <name val="Times New Roman"/>
      <family val="1"/>
      <charset val="162"/>
    </font>
  </fonts>
  <fills count="2">
    <fill>
      <patternFill patternType="none"/>
    </fill>
    <fill>
      <patternFill patternType="gray125"/>
    </fill>
  </fills>
  <borders count="2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15">
    <xf numFmtId="0" fontId="0" fillId="0" borderId="0" xfId="0"/>
    <xf numFmtId="0" fontId="0" fillId="0" borderId="0" xfId="0" applyAlignment="1">
      <alignment vertical="center"/>
    </xf>
    <xf numFmtId="0" fontId="5" fillId="0" borderId="4" xfId="0" applyFont="1" applyBorder="1" applyAlignment="1">
      <alignment vertical="center"/>
    </xf>
    <xf numFmtId="0" fontId="0" fillId="0" borderId="5" xfId="0" applyBorder="1"/>
    <xf numFmtId="0" fontId="0" fillId="0" borderId="5" xfId="0" applyBorder="1" applyAlignment="1">
      <alignment horizontal="left"/>
    </xf>
    <xf numFmtId="0" fontId="0" fillId="0" borderId="6" xfId="0" applyBorder="1"/>
    <xf numFmtId="0" fontId="5" fillId="0" borderId="7" xfId="0" applyFont="1" applyBorder="1" applyAlignment="1">
      <alignment vertical="center"/>
    </xf>
    <xf numFmtId="0" fontId="0" fillId="0" borderId="0" xfId="0" applyAlignment="1">
      <alignment horizontal="left"/>
    </xf>
    <xf numFmtId="0" fontId="0" fillId="0" borderId="8" xfId="0" applyBorder="1"/>
    <xf numFmtId="0" fontId="5" fillId="0" borderId="9" xfId="0" applyFont="1" applyBorder="1"/>
    <xf numFmtId="0" fontId="0" fillId="0" borderId="10" xfId="0" applyBorder="1"/>
    <xf numFmtId="0" fontId="0" fillId="0" borderId="11" xfId="0" applyBorder="1"/>
    <xf numFmtId="0" fontId="0" fillId="0" borderId="4" xfId="0" applyBorder="1"/>
    <xf numFmtId="0" fontId="0" fillId="0" borderId="0" xfId="0" applyAlignment="1">
      <alignment horizontal="center"/>
    </xf>
    <xf numFmtId="0" fontId="0" fillId="0" borderId="9" xfId="0" applyBorder="1"/>
    <xf numFmtId="0" fontId="4" fillId="0" borderId="5" xfId="0" applyFont="1" applyBorder="1"/>
    <xf numFmtId="0" fontId="4" fillId="0" borderId="7" xfId="0" applyFont="1" applyBorder="1"/>
    <xf numFmtId="0" fontId="0" fillId="0" borderId="7" xfId="0" applyBorder="1"/>
    <xf numFmtId="0" fontId="4" fillId="0" borderId="4" xfId="0" applyFont="1" applyBorder="1"/>
    <xf numFmtId="0" fontId="4" fillId="0" borderId="9" xfId="0" applyFont="1" applyBorder="1"/>
    <xf numFmtId="0" fontId="2" fillId="0" borderId="0" xfId="0" applyFont="1"/>
    <xf numFmtId="14" fontId="2" fillId="0" borderId="0" xfId="0" applyNumberFormat="1" applyFont="1"/>
    <xf numFmtId="0" fontId="1" fillId="0" borderId="0" xfId="0" applyFont="1"/>
    <xf numFmtId="0" fontId="6" fillId="0" borderId="0" xfId="0" applyFont="1" applyAlignment="1">
      <alignment vertical="center"/>
    </xf>
    <xf numFmtId="0" fontId="8" fillId="0" borderId="0" xfId="0" applyFont="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9" fillId="0" borderId="0" xfId="0" applyFont="1"/>
    <xf numFmtId="0" fontId="11" fillId="0" borderId="0" xfId="0" applyFont="1" applyAlignment="1">
      <alignment vertical="center"/>
    </xf>
    <xf numFmtId="1" fontId="1" fillId="0" borderId="0" xfId="0" applyNumberFormat="1" applyFont="1"/>
    <xf numFmtId="0" fontId="1" fillId="0" borderId="0" xfId="0" applyFont="1" applyAlignment="1">
      <alignment horizontal="center" vertical="center"/>
    </xf>
    <xf numFmtId="0" fontId="8" fillId="0" borderId="0" xfId="0" applyFont="1" applyAlignment="1">
      <alignment horizontal="center" vertical="center"/>
    </xf>
    <xf numFmtId="0" fontId="4" fillId="0" borderId="0" xfId="0" applyFont="1" applyAlignment="1">
      <alignment vertical="center"/>
    </xf>
    <xf numFmtId="0" fontId="8" fillId="0" borderId="0" xfId="0" applyFont="1" applyAlignment="1">
      <alignment horizontal="right"/>
    </xf>
    <xf numFmtId="0" fontId="9" fillId="0" borderId="0" xfId="0" applyFont="1" applyAlignment="1">
      <alignment horizontal="left"/>
    </xf>
    <xf numFmtId="0" fontId="12" fillId="0" borderId="0" xfId="0" applyFont="1" applyAlignment="1">
      <alignment horizontal="center"/>
    </xf>
    <xf numFmtId="0" fontId="13" fillId="0" borderId="0" xfId="0" applyFont="1" applyAlignment="1">
      <alignment horizontal="left"/>
    </xf>
    <xf numFmtId="0" fontId="0" fillId="0" borderId="0" xfId="0" applyAlignment="1">
      <alignment horizontal="right"/>
    </xf>
    <xf numFmtId="0" fontId="14" fillId="0" borderId="0" xfId="0" applyFont="1" applyAlignment="1">
      <alignment horizontal="center"/>
    </xf>
    <xf numFmtId="0" fontId="15" fillId="0" borderId="0" xfId="0" applyFont="1"/>
    <xf numFmtId="0" fontId="15" fillId="0" borderId="0" xfId="0" applyFont="1" applyAlignment="1">
      <alignment horizontal="center"/>
    </xf>
    <xf numFmtId="0" fontId="13" fillId="0" borderId="0" xfId="0" applyFont="1" applyAlignment="1">
      <alignment horizontal="center"/>
    </xf>
    <xf numFmtId="0" fontId="9" fillId="0" borderId="0" xfId="0" applyFont="1" applyAlignment="1">
      <alignment horizontal="center" vertical="center"/>
    </xf>
    <xf numFmtId="164" fontId="9" fillId="0" borderId="0" xfId="0" applyNumberFormat="1" applyFont="1" applyAlignment="1">
      <alignment horizontal="center" vertical="center"/>
    </xf>
    <xf numFmtId="2" fontId="9" fillId="0" borderId="0" xfId="0" applyNumberFormat="1" applyFont="1" applyAlignment="1">
      <alignment horizontal="center" vertical="center"/>
    </xf>
    <xf numFmtId="14" fontId="0" fillId="0" borderId="0" xfId="0" applyNumberFormat="1" applyAlignment="1">
      <alignment horizontal="center"/>
    </xf>
    <xf numFmtId="0" fontId="18" fillId="0" borderId="0" xfId="0" applyFont="1" applyAlignment="1">
      <alignment horizontal="left" vertical="center"/>
    </xf>
    <xf numFmtId="0" fontId="16" fillId="0" borderId="0" xfId="0" applyFont="1" applyAlignment="1">
      <alignment vertical="center"/>
    </xf>
    <xf numFmtId="0" fontId="17" fillId="0" borderId="0" xfId="0" applyFont="1" applyAlignment="1">
      <alignment vertical="center"/>
    </xf>
    <xf numFmtId="0" fontId="10" fillId="0" borderId="16" xfId="0" applyFont="1" applyBorder="1" applyAlignment="1">
      <alignment vertical="center"/>
    </xf>
    <xf numFmtId="0" fontId="19" fillId="0" borderId="0" xfId="0" applyFont="1" applyAlignment="1">
      <alignment horizontal="left" vertical="center"/>
    </xf>
    <xf numFmtId="0" fontId="18" fillId="0" borderId="0" xfId="0" applyFont="1" applyAlignment="1">
      <alignment vertical="center"/>
    </xf>
    <xf numFmtId="49" fontId="18" fillId="0" borderId="0" xfId="0" applyNumberFormat="1" applyFont="1" applyAlignment="1">
      <alignment horizontal="left" vertical="center"/>
    </xf>
    <xf numFmtId="0" fontId="18" fillId="0" borderId="0" xfId="0" applyFont="1" applyAlignment="1">
      <alignment horizontal="justify" vertical="center"/>
    </xf>
    <xf numFmtId="0" fontId="7" fillId="0" borderId="0" xfId="0" applyFont="1" applyAlignment="1">
      <alignment horizontal="center" vertical="center"/>
    </xf>
    <xf numFmtId="49" fontId="0" fillId="0" borderId="0" xfId="0" applyNumberFormat="1" applyAlignment="1">
      <alignment horizontal="left"/>
    </xf>
    <xf numFmtId="49" fontId="0" fillId="0" borderId="0" xfId="0" applyNumberFormat="1"/>
    <xf numFmtId="14" fontId="0" fillId="0" borderId="0" xfId="0" applyNumberFormat="1"/>
    <xf numFmtId="0" fontId="0" fillId="0" borderId="0" xfId="0" applyAlignment="1">
      <alignment horizontal="center"/>
    </xf>
    <xf numFmtId="14" fontId="0" fillId="0" borderId="0" xfId="0" applyNumberFormat="1" applyAlignment="1">
      <alignment horizontal="left"/>
    </xf>
    <xf numFmtId="0" fontId="0" fillId="0" borderId="0" xfId="0" applyAlignment="1">
      <alignment horizontal="left"/>
    </xf>
    <xf numFmtId="0" fontId="7" fillId="0" borderId="0" xfId="0" applyFont="1" applyAlignment="1">
      <alignment horizontal="center" vertical="center"/>
    </xf>
    <xf numFmtId="0" fontId="7" fillId="0" borderId="0" xfId="0" applyFont="1" applyAlignment="1">
      <alignment horizontal="center"/>
    </xf>
    <xf numFmtId="0" fontId="13" fillId="0" borderId="0" xfId="0" applyFont="1" applyAlignment="1">
      <alignment horizontal="center"/>
    </xf>
    <xf numFmtId="0" fontId="9" fillId="0" borderId="0" xfId="0" applyFont="1" applyAlignment="1">
      <alignment horizontal="center" vertical="center"/>
    </xf>
    <xf numFmtId="0" fontId="2" fillId="0" borderId="0" xfId="0" applyFont="1" applyAlignment="1">
      <alignment horizontal="left"/>
    </xf>
    <xf numFmtId="0" fontId="9" fillId="0" borderId="0" xfId="0" applyFont="1" applyAlignment="1">
      <alignment horizontal="center"/>
    </xf>
    <xf numFmtId="0" fontId="20" fillId="0" borderId="15" xfId="0" applyFont="1" applyBorder="1" applyAlignment="1">
      <alignment horizontal="center" vertical="top" wrapText="1"/>
    </xf>
    <xf numFmtId="0" fontId="20" fillId="0" borderId="0" xfId="0" applyFont="1" applyAlignment="1">
      <alignment horizontal="center" vertical="top" wrapText="1"/>
    </xf>
    <xf numFmtId="0" fontId="20" fillId="0" borderId="16" xfId="0" applyFont="1" applyBorder="1" applyAlignment="1">
      <alignment horizontal="center" vertical="top" wrapText="1"/>
    </xf>
    <xf numFmtId="0" fontId="20" fillId="0" borderId="15" xfId="0" applyFont="1" applyBorder="1" applyAlignment="1">
      <alignment horizontal="center"/>
    </xf>
    <xf numFmtId="0" fontId="20" fillId="0" borderId="0" xfId="0" applyFont="1" applyAlignment="1">
      <alignment horizontal="center"/>
    </xf>
    <xf numFmtId="0" fontId="20" fillId="0" borderId="16" xfId="0" applyFont="1" applyBorder="1" applyAlignment="1">
      <alignment horizontal="center"/>
    </xf>
    <xf numFmtId="49" fontId="4" fillId="0" borderId="15" xfId="0" applyNumberFormat="1" applyFont="1" applyBorder="1" applyAlignment="1">
      <alignment horizontal="center"/>
    </xf>
    <xf numFmtId="49" fontId="4" fillId="0" borderId="0" xfId="0" applyNumberFormat="1" applyFont="1" applyAlignment="1">
      <alignment horizontal="center"/>
    </xf>
    <xf numFmtId="49" fontId="4" fillId="0" borderId="16" xfId="0" applyNumberFormat="1" applyFont="1" applyBorder="1" applyAlignment="1">
      <alignment horizontal="center"/>
    </xf>
    <xf numFmtId="0" fontId="4" fillId="0" borderId="15" xfId="0" applyFont="1" applyBorder="1" applyAlignment="1">
      <alignment horizontal="center"/>
    </xf>
    <xf numFmtId="0" fontId="4" fillId="0" borderId="0" xfId="0" applyFont="1" applyAlignment="1">
      <alignment horizontal="center"/>
    </xf>
    <xf numFmtId="0" fontId="4" fillId="0" borderId="16" xfId="0" applyFont="1" applyBorder="1" applyAlignment="1">
      <alignment horizontal="center"/>
    </xf>
    <xf numFmtId="0" fontId="21" fillId="0" borderId="15" xfId="0" applyFont="1" applyBorder="1" applyAlignment="1">
      <alignment horizontal="center"/>
    </xf>
    <xf numFmtId="0" fontId="21" fillId="0" borderId="0" xfId="0" applyFont="1" applyAlignment="1">
      <alignment horizontal="center"/>
    </xf>
    <xf numFmtId="0" fontId="21" fillId="0" borderId="16" xfId="0" applyFont="1" applyBorder="1" applyAlignment="1">
      <alignment horizontal="center"/>
    </xf>
    <xf numFmtId="0" fontId="22" fillId="0" borderId="15" xfId="0" applyFont="1" applyBorder="1" applyAlignment="1">
      <alignment horizontal="center"/>
    </xf>
    <xf numFmtId="0" fontId="22" fillId="0" borderId="0" xfId="0" applyFont="1" applyAlignment="1">
      <alignment horizontal="center"/>
    </xf>
    <xf numFmtId="0" fontId="22" fillId="0" borderId="16" xfId="0" applyFont="1" applyBorder="1" applyAlignment="1">
      <alignment horizontal="center"/>
    </xf>
    <xf numFmtId="0" fontId="23" fillId="0" borderId="15" xfId="0" applyFont="1" applyBorder="1" applyAlignment="1">
      <alignment horizontal="center" vertical="center"/>
    </xf>
    <xf numFmtId="0" fontId="23" fillId="0" borderId="0" xfId="0" applyFont="1" applyAlignment="1">
      <alignment horizontal="center" vertical="center"/>
    </xf>
    <xf numFmtId="0" fontId="23" fillId="0" borderId="16" xfId="0" applyFont="1" applyBorder="1" applyAlignment="1">
      <alignment horizontal="center" vertical="center"/>
    </xf>
    <xf numFmtId="0" fontId="2" fillId="0" borderId="15" xfId="0" applyFont="1" applyBorder="1" applyAlignment="1">
      <alignment horizontal="center"/>
    </xf>
    <xf numFmtId="0" fontId="2" fillId="0" borderId="0" xfId="0" applyFont="1" applyAlignment="1">
      <alignment horizontal="center"/>
    </xf>
    <xf numFmtId="0" fontId="2" fillId="0" borderId="16" xfId="0" applyFont="1" applyBorder="1" applyAlignment="1">
      <alignment horizontal="center"/>
    </xf>
    <xf numFmtId="0" fontId="23" fillId="0" borderId="15" xfId="0" applyFont="1" applyBorder="1" applyAlignment="1">
      <alignment horizontal="center" vertical="top"/>
    </xf>
    <xf numFmtId="0" fontId="23" fillId="0" borderId="0" xfId="0" applyFont="1" applyAlignment="1">
      <alignment horizontal="center" vertical="top"/>
    </xf>
    <xf numFmtId="0" fontId="23" fillId="0" borderId="16" xfId="0" applyFont="1" applyBorder="1" applyAlignment="1">
      <alignment horizontal="center" vertical="top"/>
    </xf>
    <xf numFmtId="14" fontId="4" fillId="0" borderId="0" xfId="0" applyNumberFormat="1" applyFont="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14" fontId="0" fillId="0" borderId="0" xfId="0" applyNumberFormat="1" applyAlignment="1">
      <alignment horizontal="center"/>
    </xf>
    <xf numFmtId="0" fontId="0" fillId="0" borderId="8" xfId="0" applyBorder="1" applyAlignment="1">
      <alignment horizontal="center"/>
    </xf>
    <xf numFmtId="49" fontId="0" fillId="0" borderId="0" xfId="0" applyNumberFormat="1" applyAlignment="1">
      <alignment horizontal="left"/>
    </xf>
    <xf numFmtId="0" fontId="24" fillId="0" borderId="20" xfId="0" applyFont="1" applyBorder="1" applyAlignment="1">
      <alignment horizontal="left" vertical="center" wrapText="1"/>
    </xf>
    <xf numFmtId="0" fontId="24" fillId="0" borderId="21" xfId="0" applyFont="1" applyBorder="1" applyAlignment="1">
      <alignment horizontal="left" vertical="center" wrapText="1"/>
    </xf>
    <xf numFmtId="0" fontId="24" fillId="0" borderId="2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575831</xdr:colOff>
      <xdr:row>1</xdr:row>
      <xdr:rowOff>128155</xdr:rowOff>
    </xdr:from>
    <xdr:to>
      <xdr:col>6</xdr:col>
      <xdr:colOff>638176</xdr:colOff>
      <xdr:row>6</xdr:row>
      <xdr:rowOff>88323</xdr:rowOff>
    </xdr:to>
    <xdr:pic>
      <xdr:nvPicPr>
        <xdr:cNvPr id="2" name="Resim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18981" y="318655"/>
          <a:ext cx="1262495" cy="13127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8</xdr:row>
      <xdr:rowOff>93518</xdr:rowOff>
    </xdr:from>
    <xdr:ext cx="5929745" cy="495300"/>
    <xdr:sp macro="" textlink="">
      <xdr:nvSpPr>
        <xdr:cNvPr id="2" name="Metin kutusu 1">
          <a:extLst>
            <a:ext uri="{FF2B5EF4-FFF2-40B4-BE49-F238E27FC236}">
              <a16:creationId xmlns:a16="http://schemas.microsoft.com/office/drawing/2014/main" id="{00000000-0008-0000-0200-000002000000}"/>
            </a:ext>
          </a:extLst>
        </xdr:cNvPr>
        <xdr:cNvSpPr txBox="1"/>
      </xdr:nvSpPr>
      <xdr:spPr>
        <a:xfrm>
          <a:off x="0" y="1634836"/>
          <a:ext cx="5929745" cy="495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tr-TR" sz="1100"/>
            <a:t>Çanakkale Belediyesi ve mücavir alan sınırları içinde bulunan, aşağıda  proje bilgileri verilen parselde  </a:t>
          </a:r>
          <a:r>
            <a:rPr lang="tr-TR" sz="1100" baseline="0"/>
            <a:t>  temel sondajı/araştırma çukuru</a:t>
          </a:r>
          <a:r>
            <a:rPr lang="tr-TR" sz="1100"/>
            <a:t> çalışmaları</a:t>
          </a:r>
          <a:r>
            <a:rPr lang="tr-TR" sz="1100" baseline="0"/>
            <a:t> yapılmıştır.</a:t>
          </a:r>
        </a:p>
        <a:p>
          <a:endParaRPr lang="tr-TR" sz="1100"/>
        </a:p>
        <a:p>
          <a:endParaRPr lang="tr-TR" sz="1100"/>
        </a:p>
      </xdr:txBody>
    </xdr:sp>
    <xdr:clientData/>
  </xdr:oneCellAnchor>
  <xdr:oneCellAnchor>
    <xdr:from>
      <xdr:col>8</xdr:col>
      <xdr:colOff>19050</xdr:colOff>
      <xdr:row>7</xdr:row>
      <xdr:rowOff>171450</xdr:rowOff>
    </xdr:from>
    <xdr:ext cx="5724525" cy="485775"/>
    <xdr:sp macro="" textlink="">
      <xdr:nvSpPr>
        <xdr:cNvPr id="3" name="Metin kutusu 1">
          <a:extLst>
            <a:ext uri="{FF2B5EF4-FFF2-40B4-BE49-F238E27FC236}">
              <a16:creationId xmlns:a16="http://schemas.microsoft.com/office/drawing/2014/main" id="{00000000-0008-0000-0200-000003000000}"/>
            </a:ext>
          </a:extLst>
        </xdr:cNvPr>
        <xdr:cNvSpPr txBox="1"/>
      </xdr:nvSpPr>
      <xdr:spPr>
        <a:xfrm>
          <a:off x="19050" y="1522268"/>
          <a:ext cx="5724525" cy="485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tr-TR" sz="1100"/>
            <a:t>Çanakkale Belediyesi ve mücavir alan sınırları içinde bulunan, aşağıda  belirtilen</a:t>
          </a:r>
          <a:r>
            <a:rPr lang="tr-TR" sz="1100" baseline="0"/>
            <a:t>  ve imar durumda yer alan bilgilere göre </a:t>
          </a:r>
          <a:r>
            <a:rPr lang="tr-TR" sz="1100"/>
            <a:t>çalışma alanında 21.10.2014</a:t>
          </a:r>
          <a:r>
            <a:rPr lang="tr-TR" sz="1100" baseline="0"/>
            <a:t> tarihinde </a:t>
          </a:r>
          <a:r>
            <a:rPr lang="tr-TR" sz="1100"/>
            <a:t>jeofizik çalışmalar  y</a:t>
          </a:r>
          <a:r>
            <a:rPr lang="tr-TR" sz="1100" baseline="0"/>
            <a:t>apılacaktır. </a:t>
          </a:r>
        </a:p>
        <a:p>
          <a:endParaRPr lang="tr-TR" sz="1100"/>
        </a:p>
        <a:p>
          <a:endParaRPr lang="tr-TR" sz="1100"/>
        </a:p>
      </xdr:txBody>
    </xdr:sp>
    <xdr:clientData/>
  </xdr:oneCellAnchor>
  <xdr:oneCellAnchor>
    <xdr:from>
      <xdr:col>16</xdr:col>
      <xdr:colOff>0</xdr:colOff>
      <xdr:row>8</xdr:row>
      <xdr:rowOff>93518</xdr:rowOff>
    </xdr:from>
    <xdr:ext cx="5929745" cy="495300"/>
    <xdr:sp macro="" textlink="">
      <xdr:nvSpPr>
        <xdr:cNvPr id="5" name="Metin kutusu 4">
          <a:extLst>
            <a:ext uri="{FF2B5EF4-FFF2-40B4-BE49-F238E27FC236}">
              <a16:creationId xmlns:a16="http://schemas.microsoft.com/office/drawing/2014/main" id="{00000000-0008-0000-0200-000005000000}"/>
            </a:ext>
          </a:extLst>
        </xdr:cNvPr>
        <xdr:cNvSpPr txBox="1"/>
      </xdr:nvSpPr>
      <xdr:spPr>
        <a:xfrm>
          <a:off x="0" y="1634836"/>
          <a:ext cx="5929745" cy="495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tr-TR" sz="1100"/>
            <a:t>Çanakkale Belediyesi ve mücavir alan sınırları içinde bulunan, aşağıda  proje bilgileri verilen parsel</a:t>
          </a:r>
          <a:r>
            <a:rPr lang="tr-TR" sz="1100" baseline="0"/>
            <a:t>  ait  temel ve zemin etüt raporunun incenmesi için  gereğini arz ederim.</a:t>
          </a:r>
        </a:p>
        <a:p>
          <a:endParaRPr lang="tr-TR" sz="1100"/>
        </a:p>
        <a:p>
          <a:endParaRPr lang="tr-TR" sz="1100"/>
        </a:p>
      </xdr:txBody>
    </xdr:sp>
    <xdr:clientData/>
  </xdr:oneCellAnchor>
  <xdr:oneCellAnchor>
    <xdr:from>
      <xdr:col>4</xdr:col>
      <xdr:colOff>304800</xdr:colOff>
      <xdr:row>23</xdr:row>
      <xdr:rowOff>138546</xdr:rowOff>
    </xdr:from>
    <xdr:ext cx="2542309" cy="637310"/>
    <xdr:sp macro="" textlink="">
      <xdr:nvSpPr>
        <xdr:cNvPr id="6" name="Metin kutusu 5">
          <a:extLst>
            <a:ext uri="{FF2B5EF4-FFF2-40B4-BE49-F238E27FC236}">
              <a16:creationId xmlns:a16="http://schemas.microsoft.com/office/drawing/2014/main" id="{8201665F-4D20-463A-A996-C2A126AB42B1}"/>
            </a:ext>
          </a:extLst>
        </xdr:cNvPr>
        <xdr:cNvSpPr txBox="1"/>
      </xdr:nvSpPr>
      <xdr:spPr>
        <a:xfrm>
          <a:off x="3345873" y="4384964"/>
          <a:ext cx="2542309" cy="6373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tr-TR" sz="1100">
              <a:solidFill>
                <a:schemeClr val="tx1"/>
              </a:solidFill>
              <a:effectLst/>
              <a:latin typeface="+mn-lt"/>
              <a:ea typeface="+mn-ea"/>
              <a:cs typeface="+mn-cs"/>
            </a:rPr>
            <a:t>UB Zemin Müh. Mim. </a:t>
          </a:r>
        </a:p>
        <a:p>
          <a:pPr algn="ctr"/>
          <a:r>
            <a:rPr lang="tr-TR" sz="1100">
              <a:solidFill>
                <a:schemeClr val="tx1"/>
              </a:solidFill>
              <a:effectLst/>
              <a:latin typeface="+mn-lt"/>
              <a:ea typeface="+mn-ea"/>
              <a:cs typeface="+mn-cs"/>
            </a:rPr>
            <a:t>İnş. San. Tic. Ltd. Şti</a:t>
          </a:r>
        </a:p>
        <a:p>
          <a:pPr algn="ctr"/>
          <a:r>
            <a:rPr lang="tr-TR" sz="1100">
              <a:solidFill>
                <a:schemeClr val="tx1"/>
              </a:solidFill>
              <a:effectLst/>
              <a:latin typeface="+mn-lt"/>
              <a:ea typeface="+mn-ea"/>
              <a:cs typeface="+mn-cs"/>
            </a:rPr>
            <a:t>V.N. : 883 029 3487</a:t>
          </a:r>
        </a:p>
        <a:p>
          <a:pPr algn="ctr"/>
          <a:endParaRPr lang="tr-TR"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19</xdr:row>
      <xdr:rowOff>38099</xdr:rowOff>
    </xdr:from>
    <xdr:ext cx="5943600" cy="1470146"/>
    <xdr:sp macro="" textlink="">
      <xdr:nvSpPr>
        <xdr:cNvPr id="2" name="Metin kutusu 1">
          <a:extLst>
            <a:ext uri="{FF2B5EF4-FFF2-40B4-BE49-F238E27FC236}">
              <a16:creationId xmlns:a16="http://schemas.microsoft.com/office/drawing/2014/main" id="{00000000-0008-0000-0300-000002000000}"/>
            </a:ext>
          </a:extLst>
        </xdr:cNvPr>
        <xdr:cNvSpPr txBox="1"/>
      </xdr:nvSpPr>
      <xdr:spPr>
        <a:xfrm>
          <a:off x="28575" y="3924299"/>
          <a:ext cx="5943600"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r-TR" sz="1100">
              <a:solidFill>
                <a:schemeClr val="tx1"/>
              </a:solidFill>
              <a:effectLst/>
              <a:latin typeface="+mn-lt"/>
              <a:ea typeface="+mn-ea"/>
              <a:cs typeface="+mn-cs"/>
            </a:rPr>
            <a:t>Yukarıdaki bilgilere sahip projenin müellifliğini üstlenmemde 6235 sayılı Türk Mühendis ve Mimar Odaları Birliği Kanunu, 3194 sayılı İmar Kanunu ve ilgili mevzuat kapsamında süreli veya süresiz olarak mesleki faaliyet haklarımda herhangi bir kısıtlılık bulunmadığını ve odama üyeliğimin devam ettiğini taahhüt ederim.</a:t>
          </a:r>
        </a:p>
        <a:p>
          <a:r>
            <a:rPr lang="tr-TR" sz="1100">
              <a:solidFill>
                <a:schemeClr val="tx1"/>
              </a:solidFill>
              <a:effectLst/>
              <a:latin typeface="+mn-lt"/>
              <a:ea typeface="+mn-ea"/>
              <a:cs typeface="+mn-cs"/>
            </a:rPr>
            <a:t> </a:t>
          </a:r>
        </a:p>
        <a:p>
          <a:r>
            <a:rPr lang="tr-TR" sz="1100">
              <a:solidFill>
                <a:schemeClr val="tx1"/>
              </a:solidFill>
              <a:effectLst/>
              <a:latin typeface="+mn-lt"/>
              <a:ea typeface="+mn-ea"/>
              <a:cs typeface="+mn-cs"/>
            </a:rPr>
            <a:t>Yukarıdaki bilgilere sahip yapıya ilişkin hazırlanacak tüm projelerde, 3194 sayılı Kanun ve deprem, yangın,enerji verimliliği, asansör gibi ilgili tüm mevzuat hükümlerini eksiksiz uygulayacağımı taahhüt ederim</a:t>
          </a:r>
          <a:endParaRPr lang="tr-TR" sz="1100"/>
        </a:p>
      </xdr:txBody>
    </xdr:sp>
    <xdr:clientData/>
  </xdr:oneCellAnchor>
  <xdr:oneCellAnchor>
    <xdr:from>
      <xdr:col>9</xdr:col>
      <xdr:colOff>66675</xdr:colOff>
      <xdr:row>19</xdr:row>
      <xdr:rowOff>0</xdr:rowOff>
    </xdr:from>
    <xdr:ext cx="5829300" cy="1470146"/>
    <xdr:sp macro="" textlink="">
      <xdr:nvSpPr>
        <xdr:cNvPr id="4" name="Metin kutusu 3">
          <a:extLst>
            <a:ext uri="{FF2B5EF4-FFF2-40B4-BE49-F238E27FC236}">
              <a16:creationId xmlns:a16="http://schemas.microsoft.com/office/drawing/2014/main" id="{00000000-0008-0000-0300-000004000000}"/>
            </a:ext>
          </a:extLst>
        </xdr:cNvPr>
        <xdr:cNvSpPr txBox="1"/>
      </xdr:nvSpPr>
      <xdr:spPr>
        <a:xfrm>
          <a:off x="5848350" y="3886200"/>
          <a:ext cx="5829300"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r-TR" sz="1100">
              <a:solidFill>
                <a:schemeClr val="tx1"/>
              </a:solidFill>
              <a:effectLst/>
              <a:latin typeface="+mn-lt"/>
              <a:ea typeface="+mn-ea"/>
              <a:cs typeface="+mn-cs"/>
            </a:rPr>
            <a:t>Yukarıdaki bilgilere sahip projenin müellifliğini üstlenmemde 6235 sayılı Türk Mühendis ve Mimar Odaları Birliği Kanunu, 3194 sayılı İmar Kanunu ve ilgili mevzuat kapsamında süreli veya süresiz olarak mesleki faaliyet haklarımda herhangi bir kısıtlılık bulunmadığını ve odama üyeliğimin devam ettiğini taahhüt ederim.</a:t>
          </a:r>
        </a:p>
        <a:p>
          <a:r>
            <a:rPr lang="tr-TR" sz="1100">
              <a:solidFill>
                <a:schemeClr val="tx1"/>
              </a:solidFill>
              <a:effectLst/>
              <a:latin typeface="+mn-lt"/>
              <a:ea typeface="+mn-ea"/>
              <a:cs typeface="+mn-cs"/>
            </a:rPr>
            <a:t> </a:t>
          </a:r>
        </a:p>
        <a:p>
          <a:r>
            <a:rPr lang="tr-TR" sz="1100">
              <a:solidFill>
                <a:schemeClr val="tx1"/>
              </a:solidFill>
              <a:effectLst/>
              <a:latin typeface="+mn-lt"/>
              <a:ea typeface="+mn-ea"/>
              <a:cs typeface="+mn-cs"/>
            </a:rPr>
            <a:t>Yukarıdaki bilgilere sahip yapıya ilişkin hazırlanacak tüm projelerde, 3194 sayılı Kanun ve deprem, yangın,enerji verimliliği, asansör gibi ilgili tüm mevzuat hükümlerini eksiksiz uygulayacağımı taahhüt ederim</a:t>
          </a:r>
          <a:endParaRPr lang="tr-TR" sz="1100"/>
        </a:p>
      </xdr:txBody>
    </xdr:sp>
    <xdr:clientData/>
  </xdr:oneCellAnchor>
  <xdr:oneCellAnchor>
    <xdr:from>
      <xdr:col>0</xdr:col>
      <xdr:colOff>33619</xdr:colOff>
      <xdr:row>43</xdr:row>
      <xdr:rowOff>33618</xdr:rowOff>
    </xdr:from>
    <xdr:ext cx="5598556" cy="811208"/>
    <xdr:sp macro="" textlink="">
      <xdr:nvSpPr>
        <xdr:cNvPr id="3" name="Metin kutusu 2">
          <a:extLst>
            <a:ext uri="{FF2B5EF4-FFF2-40B4-BE49-F238E27FC236}">
              <a16:creationId xmlns:a16="http://schemas.microsoft.com/office/drawing/2014/main" id="{00000000-0008-0000-0300-000003000000}"/>
            </a:ext>
          </a:extLst>
        </xdr:cNvPr>
        <xdr:cNvSpPr txBox="1"/>
      </xdr:nvSpPr>
      <xdr:spPr>
        <a:xfrm>
          <a:off x="33619" y="8788335"/>
          <a:ext cx="5598556" cy="8112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tr-TR" sz="1100"/>
            <a:t>Gerçeğe aykırı beyanda bulunduğu tespit edilenlerin işlemleri iptal edilecek ve bu kişiler hakkında 5237 sayılı Türk  Ceza  Kanununun  ilgili hükümleri gereği Cumhuriyet Savcılığına suç duyurusunda bulunulacak, ayrıca 6235 sayılı Türk  Mühendis ve  Mimar  Odaları  Birliği  Kanunu  ve ilgili  mevzuatı  uyarınca işlem yapılmak üzere ilgili Meslek Odasına bilgi verilecektir.</a:t>
          </a:r>
        </a:p>
      </xdr:txBody>
    </xdr:sp>
    <xdr:clientData/>
  </xdr:oneCellAnchor>
  <xdr:oneCellAnchor>
    <xdr:from>
      <xdr:col>9</xdr:col>
      <xdr:colOff>33616</xdr:colOff>
      <xdr:row>42</xdr:row>
      <xdr:rowOff>190497</xdr:rowOff>
    </xdr:from>
    <xdr:ext cx="5939119" cy="907679"/>
    <xdr:sp macro="" textlink="">
      <xdr:nvSpPr>
        <xdr:cNvPr id="7" name="Metin kutusu 6">
          <a:extLst>
            <a:ext uri="{FF2B5EF4-FFF2-40B4-BE49-F238E27FC236}">
              <a16:creationId xmlns:a16="http://schemas.microsoft.com/office/drawing/2014/main" id="{00000000-0008-0000-0300-000007000000}"/>
            </a:ext>
          </a:extLst>
        </xdr:cNvPr>
        <xdr:cNvSpPr txBox="1"/>
      </xdr:nvSpPr>
      <xdr:spPr>
        <a:xfrm>
          <a:off x="6118410" y="8751791"/>
          <a:ext cx="5939119" cy="9076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tr-TR" sz="1100"/>
            <a:t>Gerçeğe aykırı beyanda bulunduğu tespit edilenlerin işlemleri iptal edilecek ve bu kişiler hakkında 5237 sayılı Türk  Ceza  Kanununun  ilgili hükümleri gereği Cumhuriyet Savcılığına suç duyurusunda bulunulacak, ayrıca 6235 sayılı Türk  Mühendis ve  Mimar  Odaları  Birliği  Kanunu  ve ilgili  mevzuatı  uyarınca işlem yapılmak üzere ilgili Meslek Odasına bilgi verilecektir.</a:t>
          </a:r>
        </a:p>
      </xdr:txBody>
    </xdr:sp>
    <xdr:clientData/>
  </xdr:oneCellAnchor>
  <xdr:oneCellAnchor>
    <xdr:from>
      <xdr:col>18</xdr:col>
      <xdr:colOff>66675</xdr:colOff>
      <xdr:row>19</xdr:row>
      <xdr:rowOff>0</xdr:rowOff>
    </xdr:from>
    <xdr:ext cx="5829300" cy="609013"/>
    <xdr:sp macro="" textlink="">
      <xdr:nvSpPr>
        <xdr:cNvPr id="6" name="Metin kutusu 5">
          <a:extLst>
            <a:ext uri="{FF2B5EF4-FFF2-40B4-BE49-F238E27FC236}">
              <a16:creationId xmlns:a16="http://schemas.microsoft.com/office/drawing/2014/main" id="{00000000-0008-0000-0300-000006000000}"/>
            </a:ext>
          </a:extLst>
        </xdr:cNvPr>
        <xdr:cNvSpPr txBox="1"/>
      </xdr:nvSpPr>
      <xdr:spPr>
        <a:xfrm>
          <a:off x="6106646" y="4370294"/>
          <a:ext cx="582930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r-TR" sz="1100"/>
            <a:t>Yukarıdaki bilgilere sahip projenin müellifliğini üstlenmemde 6235 sayılı Türk Mühendis ve Mimar Odaları Birliği Kanunu, 3194 sayılı İmar Kanunu ve ilgili mevzuat  kapsamında süreli veya süresiz olarak mesleki faaliyet haklarımda herhangi bir kısıtlılık bulunmadığını taahhüt ederim. </a:t>
          </a:r>
        </a:p>
      </xdr:txBody>
    </xdr:sp>
    <xdr:clientData/>
  </xdr:oneCellAnchor>
  <xdr:oneCellAnchor>
    <xdr:from>
      <xdr:col>18</xdr:col>
      <xdr:colOff>33618</xdr:colOff>
      <xdr:row>43</xdr:row>
      <xdr:rowOff>0</xdr:rowOff>
    </xdr:from>
    <xdr:ext cx="5482600" cy="750794"/>
    <xdr:sp macro="" textlink="">
      <xdr:nvSpPr>
        <xdr:cNvPr id="8" name="Metin kutusu 7">
          <a:extLst>
            <a:ext uri="{FF2B5EF4-FFF2-40B4-BE49-F238E27FC236}">
              <a16:creationId xmlns:a16="http://schemas.microsoft.com/office/drawing/2014/main" id="{00000000-0008-0000-0300-000008000000}"/>
            </a:ext>
          </a:extLst>
        </xdr:cNvPr>
        <xdr:cNvSpPr txBox="1"/>
      </xdr:nvSpPr>
      <xdr:spPr>
        <a:xfrm>
          <a:off x="11239988" y="8754717"/>
          <a:ext cx="5482600" cy="7507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tr-TR" sz="1100"/>
            <a:t>Gerçeğe aykırı beyanda bulunduğu tespit edilenlerin işlemleri iptal edilecek ve bu kişiler hakkında 5237 sayılı Türk  Ceza  Kanununun  ilgili hükümleri gereği Cumhuriyet Savcılığına suç duyurusunda bulunulacak, ayrıca 6235 sayılı Türk  Mühendis ve  Mimar  Odaları  Birliği  Kanunu  ve ilgili  mevzuatı  uyarınca işlem yapılmak üzere ilgili Meslek Odasına bilgi verilecektir.</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190499</xdr:rowOff>
    </xdr:from>
    <xdr:ext cx="5981700" cy="1152525"/>
    <xdr:sp macro="" textlink="">
      <xdr:nvSpPr>
        <xdr:cNvPr id="3" name="Metin kutusu 2">
          <a:extLst>
            <a:ext uri="{FF2B5EF4-FFF2-40B4-BE49-F238E27FC236}">
              <a16:creationId xmlns:a16="http://schemas.microsoft.com/office/drawing/2014/main" id="{00000000-0008-0000-0400-000003000000}"/>
            </a:ext>
          </a:extLst>
        </xdr:cNvPr>
        <xdr:cNvSpPr txBox="1"/>
      </xdr:nvSpPr>
      <xdr:spPr>
        <a:xfrm>
          <a:off x="0" y="761999"/>
          <a:ext cx="5981700" cy="1152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tr-TR" sz="1100"/>
            <a:t>           Çanakkale Belediyesi ve mücavir alan sınırları içinde bulunan, sahibi </a:t>
          </a:r>
          <a:r>
            <a:rPr lang="tr-TR" sz="1100" baseline="0"/>
            <a:t>  olduğum aşağıda bilgileri belirtilen parselin  temel ve zemin etüd raporu ve geoteknik raporların kontrol edilerek kazı ve zemin iyileştirme ruhsatının verilmesini istiyorum.</a:t>
          </a:r>
        </a:p>
        <a:p>
          <a:endParaRPr lang="tr-TR" sz="1100" baseline="0"/>
        </a:p>
        <a:p>
          <a:r>
            <a:rPr lang="tr-TR" sz="1100" baseline="0"/>
            <a:t>      Gereğinin yapılmasını arz ederim.</a:t>
          </a:r>
        </a:p>
        <a:p>
          <a:endParaRPr lang="tr-TR"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workbookViewId="0">
      <selection activeCell="C13" sqref="C13"/>
    </sheetView>
  </sheetViews>
  <sheetFormatPr defaultRowHeight="14.4" x14ac:dyDescent="0.3"/>
  <cols>
    <col min="2" max="2" width="20.44140625" customWidth="1"/>
    <col min="3" max="3" width="18.88671875" customWidth="1"/>
    <col min="4" max="4" width="8.5546875" customWidth="1"/>
    <col min="5" max="5" width="15" customWidth="1"/>
    <col min="6" max="6" width="10" customWidth="1"/>
    <col min="8" max="8" width="12.88671875" customWidth="1"/>
    <col min="9" max="9" width="17.6640625" customWidth="1"/>
    <col min="13" max="13" width="20.5546875" customWidth="1"/>
  </cols>
  <sheetData>
    <row r="1" spans="2:11" ht="15" thickBot="1" x14ac:dyDescent="0.35"/>
    <row r="2" spans="2:11" ht="81.599999999999994" x14ac:dyDescent="0.3">
      <c r="B2" s="20" t="s">
        <v>0</v>
      </c>
      <c r="C2" s="112" t="s">
        <v>110</v>
      </c>
      <c r="D2" s="22"/>
      <c r="E2" s="22"/>
      <c r="F2" s="22"/>
      <c r="G2" s="22"/>
      <c r="J2" s="22"/>
    </row>
    <row r="3" spans="2:11" ht="20.399999999999999" x14ac:dyDescent="0.3">
      <c r="B3" s="20" t="s">
        <v>1</v>
      </c>
      <c r="C3" s="113" t="s">
        <v>102</v>
      </c>
      <c r="J3" s="22"/>
    </row>
    <row r="4" spans="2:11" ht="20.399999999999999" x14ac:dyDescent="0.3">
      <c r="B4" s="20" t="s">
        <v>2</v>
      </c>
      <c r="C4" s="113" t="s">
        <v>111</v>
      </c>
      <c r="J4" s="22"/>
    </row>
    <row r="5" spans="2:11" ht="20.399999999999999" x14ac:dyDescent="0.3">
      <c r="B5" s="33" t="s">
        <v>55</v>
      </c>
      <c r="C5" s="113" t="s">
        <v>112</v>
      </c>
      <c r="J5" s="37"/>
      <c r="K5" s="37"/>
    </row>
    <row r="6" spans="2:11" ht="20.399999999999999" x14ac:dyDescent="0.3">
      <c r="B6" s="20" t="s">
        <v>78</v>
      </c>
      <c r="C6" s="113" t="s">
        <v>113</v>
      </c>
      <c r="J6" s="36"/>
      <c r="K6" s="36"/>
    </row>
    <row r="7" spans="2:11" ht="20.399999999999999" x14ac:dyDescent="0.3">
      <c r="B7" s="20" t="s">
        <v>3</v>
      </c>
      <c r="C7" s="113" t="s">
        <v>113</v>
      </c>
      <c r="J7" s="22"/>
    </row>
    <row r="8" spans="2:11" ht="20.399999999999999" x14ac:dyDescent="0.3">
      <c r="B8" s="20" t="s">
        <v>4</v>
      </c>
      <c r="C8" s="113">
        <v>557</v>
      </c>
      <c r="J8" s="22"/>
    </row>
    <row r="9" spans="2:11" ht="21" thickBot="1" x14ac:dyDescent="0.35">
      <c r="B9" s="20" t="s">
        <v>5</v>
      </c>
      <c r="C9" s="114">
        <v>1</v>
      </c>
      <c r="J9" s="22"/>
    </row>
    <row r="10" spans="2:11" x14ac:dyDescent="0.3">
      <c r="B10" s="20" t="s">
        <v>38</v>
      </c>
      <c r="C10" s="35">
        <v>4</v>
      </c>
      <c r="J10" s="22"/>
    </row>
    <row r="11" spans="2:11" x14ac:dyDescent="0.3">
      <c r="B11" s="21" t="s">
        <v>25</v>
      </c>
      <c r="C11" t="s">
        <v>68</v>
      </c>
      <c r="J11" s="22"/>
    </row>
    <row r="12" spans="2:11" x14ac:dyDescent="0.3">
      <c r="B12" s="20" t="s">
        <v>26</v>
      </c>
      <c r="C12" s="23" t="s">
        <v>114</v>
      </c>
      <c r="J12" s="22"/>
    </row>
    <row r="15" spans="2:11" x14ac:dyDescent="0.3">
      <c r="B15" s="20"/>
      <c r="C15" s="20"/>
      <c r="E15" s="24"/>
      <c r="F15" s="22"/>
    </row>
    <row r="16" spans="2:11" x14ac:dyDescent="0.3">
      <c r="B16" s="20"/>
      <c r="C16" s="20"/>
      <c r="E16" s="24"/>
      <c r="F16" s="39"/>
      <c r="G16" s="40"/>
    </row>
    <row r="18" spans="1:9" x14ac:dyDescent="0.3">
      <c r="C18" s="22"/>
    </row>
    <row r="19" spans="1:9" ht="15.75" customHeight="1" x14ac:dyDescent="0.3"/>
    <row r="20" spans="1:9" x14ac:dyDescent="0.3">
      <c r="B20" s="71"/>
      <c r="C20" s="71"/>
      <c r="D20" s="71"/>
      <c r="E20" s="48"/>
      <c r="F20" s="71"/>
      <c r="G20" s="71"/>
      <c r="H20" s="71"/>
      <c r="I20" s="48"/>
    </row>
    <row r="21" spans="1:9" x14ac:dyDescent="0.3">
      <c r="B21" s="71"/>
      <c r="C21" s="71"/>
      <c r="D21" s="71"/>
      <c r="E21" s="49"/>
      <c r="F21" s="71"/>
      <c r="G21" s="71"/>
      <c r="H21" s="71"/>
      <c r="I21" s="48"/>
    </row>
    <row r="22" spans="1:9" x14ac:dyDescent="0.3">
      <c r="B22" s="71"/>
      <c r="C22" s="71"/>
      <c r="D22" s="71"/>
      <c r="E22" s="48"/>
      <c r="F22" s="20"/>
      <c r="G22" s="20"/>
      <c r="H22" s="20"/>
      <c r="I22" s="70"/>
    </row>
    <row r="23" spans="1:9" x14ac:dyDescent="0.3">
      <c r="B23" s="71"/>
      <c r="C23" s="71"/>
      <c r="D23" s="71"/>
      <c r="E23" s="48"/>
      <c r="F23" s="20"/>
      <c r="G23" s="20"/>
      <c r="H23" s="20"/>
      <c r="I23" s="70"/>
    </row>
    <row r="24" spans="1:9" x14ac:dyDescent="0.3">
      <c r="B24" s="71"/>
      <c r="C24" s="71"/>
      <c r="D24" s="71"/>
      <c r="E24" s="50"/>
      <c r="F24" s="71"/>
      <c r="G24" s="71"/>
      <c r="H24" s="71"/>
      <c r="I24" s="48"/>
    </row>
    <row r="25" spans="1:9" x14ac:dyDescent="0.3">
      <c r="B25" s="71"/>
      <c r="C25" s="71"/>
      <c r="D25" s="71"/>
      <c r="E25" s="50"/>
      <c r="F25" s="71"/>
      <c r="G25" s="71"/>
      <c r="H25" s="71"/>
      <c r="I25" s="48"/>
    </row>
    <row r="27" spans="1:9" x14ac:dyDescent="0.3">
      <c r="B27" s="71"/>
      <c r="C27" s="71"/>
      <c r="D27" s="71"/>
      <c r="E27" s="71"/>
      <c r="F27" s="72"/>
      <c r="G27" s="72"/>
      <c r="H27" s="72"/>
      <c r="I27" s="72"/>
    </row>
    <row r="28" spans="1:9" x14ac:dyDescent="0.3">
      <c r="B28" s="71"/>
      <c r="C28" s="71"/>
      <c r="D28" s="71"/>
      <c r="E28" s="71"/>
      <c r="F28" s="72"/>
      <c r="G28" s="72"/>
      <c r="H28" s="72"/>
      <c r="I28" s="72"/>
    </row>
    <row r="29" spans="1:9" x14ac:dyDescent="0.3">
      <c r="B29" s="71"/>
      <c r="C29" s="71"/>
      <c r="D29" s="71"/>
      <c r="E29" s="71"/>
      <c r="F29" s="72"/>
      <c r="G29" s="72"/>
      <c r="H29" s="72"/>
      <c r="I29" s="72"/>
    </row>
    <row r="30" spans="1:9" x14ac:dyDescent="0.3">
      <c r="B30" s="71"/>
      <c r="C30" s="71"/>
      <c r="D30" s="71"/>
      <c r="E30" s="71"/>
      <c r="F30" s="72"/>
      <c r="G30" s="72"/>
      <c r="H30" s="72"/>
      <c r="I30" s="72"/>
    </row>
    <row r="32" spans="1:9" x14ac:dyDescent="0.3">
      <c r="A32" s="20"/>
    </row>
    <row r="33" spans="1:1" x14ac:dyDescent="0.3">
      <c r="A33" s="20"/>
    </row>
    <row r="34" spans="1:1" x14ac:dyDescent="0.3">
      <c r="A34" s="20"/>
    </row>
    <row r="35" spans="1:1" x14ac:dyDescent="0.3">
      <c r="A35" s="20"/>
    </row>
    <row r="36" spans="1:1" x14ac:dyDescent="0.3">
      <c r="A36" s="20"/>
    </row>
    <row r="37" spans="1:1" x14ac:dyDescent="0.3">
      <c r="A37" s="20"/>
    </row>
    <row r="38" spans="1:1" x14ac:dyDescent="0.3">
      <c r="A38" s="20"/>
    </row>
    <row r="39" spans="1:1" x14ac:dyDescent="0.3">
      <c r="A39" s="20"/>
    </row>
  </sheetData>
  <mergeCells count="19">
    <mergeCell ref="F21:H21"/>
    <mergeCell ref="F24:H24"/>
    <mergeCell ref="F25:H25"/>
    <mergeCell ref="F20:H20"/>
    <mergeCell ref="B20:D20"/>
    <mergeCell ref="B21:D21"/>
    <mergeCell ref="B30:E30"/>
    <mergeCell ref="F30:I30"/>
    <mergeCell ref="B25:D25"/>
    <mergeCell ref="B27:E27"/>
    <mergeCell ref="F27:I27"/>
    <mergeCell ref="I22:I23"/>
    <mergeCell ref="B28:E28"/>
    <mergeCell ref="F28:I28"/>
    <mergeCell ref="B29:E29"/>
    <mergeCell ref="F29:I29"/>
    <mergeCell ref="B22:D22"/>
    <mergeCell ref="B23:D23"/>
    <mergeCell ref="B24:D24"/>
  </mergeCells>
  <dataValidations count="1">
    <dataValidation type="list" allowBlank="1" showInputMessage="1" showErrorMessage="1" sqref="C11" xr:uid="{00000000-0002-0000-0000-000000000000}">
      <formula1>idare1</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39997558519241921"/>
  </sheetPr>
  <dimension ref="A1:J37"/>
  <sheetViews>
    <sheetView view="pageLayout" topLeftCell="A25" workbookViewId="0">
      <selection activeCell="A28" sqref="A28:H28"/>
    </sheetView>
  </sheetViews>
  <sheetFormatPr defaultRowHeight="14.4" x14ac:dyDescent="0.3"/>
  <cols>
    <col min="1" max="1" width="5.88671875" customWidth="1"/>
    <col min="2" max="2" width="12.6640625" customWidth="1"/>
    <col min="3" max="3" width="1.6640625" customWidth="1"/>
    <col min="4" max="4" width="8.88671875" customWidth="1"/>
    <col min="6" max="6" width="7.5546875" customWidth="1"/>
    <col min="7" max="7" width="10.44140625" customWidth="1"/>
    <col min="8" max="8" width="42.5546875" customWidth="1"/>
  </cols>
  <sheetData>
    <row r="1" spans="1:10" ht="15" customHeight="1" thickTop="1" x14ac:dyDescent="0.3">
      <c r="A1" s="25"/>
      <c r="B1" s="26"/>
      <c r="C1" s="26"/>
      <c r="D1" s="26"/>
      <c r="E1" s="26"/>
      <c r="F1" s="26"/>
      <c r="G1" s="26"/>
      <c r="H1" s="27"/>
    </row>
    <row r="2" spans="1:10" ht="15" customHeight="1" x14ac:dyDescent="0.3">
      <c r="A2" s="28"/>
      <c r="H2" s="29"/>
    </row>
    <row r="3" spans="1:10" ht="15" customHeight="1" x14ac:dyDescent="0.3">
      <c r="A3" s="28"/>
      <c r="H3" s="29"/>
    </row>
    <row r="4" spans="1:10" ht="15" customHeight="1" x14ac:dyDescent="0.3">
      <c r="A4" s="28"/>
      <c r="H4" s="29"/>
    </row>
    <row r="5" spans="1:10" ht="46.5" customHeight="1" x14ac:dyDescent="0.3">
      <c r="A5" s="28"/>
      <c r="H5" s="29"/>
    </row>
    <row r="6" spans="1:10" ht="15" customHeight="1" x14ac:dyDescent="0.3">
      <c r="A6" s="28"/>
      <c r="H6" s="29"/>
    </row>
    <row r="7" spans="1:10" ht="32.25" customHeight="1" x14ac:dyDescent="0.3">
      <c r="A7" s="28"/>
      <c r="C7" s="7"/>
      <c r="H7" s="29"/>
    </row>
    <row r="8" spans="1:10" ht="24" customHeight="1" x14ac:dyDescent="0.3">
      <c r="A8" s="28"/>
      <c r="B8" s="52" t="s">
        <v>89</v>
      </c>
      <c r="C8" s="52" t="s">
        <v>36</v>
      </c>
      <c r="D8" s="52" t="str">
        <f>'ANA SAYFA'!C2</f>
        <v>AY-TOKLAR Mob. Gıd. Tur. Ltd. Şti.</v>
      </c>
      <c r="E8" s="53"/>
      <c r="F8" s="54"/>
      <c r="G8" s="54"/>
      <c r="H8" s="55"/>
      <c r="I8" s="24"/>
    </row>
    <row r="9" spans="1:10" ht="16.5" customHeight="1" x14ac:dyDescent="0.3">
      <c r="A9" s="28"/>
      <c r="B9" s="52"/>
      <c r="C9" s="56"/>
      <c r="D9" s="52"/>
      <c r="E9" s="53"/>
      <c r="F9" s="54"/>
      <c r="G9" s="54"/>
      <c r="H9" s="55"/>
      <c r="I9" s="24"/>
    </row>
    <row r="10" spans="1:10" ht="19.5" customHeight="1" x14ac:dyDescent="0.3">
      <c r="A10" s="28"/>
      <c r="B10" s="52" t="s">
        <v>90</v>
      </c>
      <c r="C10" s="52" t="s">
        <v>36</v>
      </c>
      <c r="D10" s="52" t="str">
        <f>'ANA SAYFA'!C3</f>
        <v>Çanakkale</v>
      </c>
      <c r="E10" s="53"/>
      <c r="F10" s="54"/>
      <c r="G10" s="54"/>
      <c r="H10" s="55"/>
    </row>
    <row r="11" spans="1:10" ht="17.100000000000001" customHeight="1" x14ac:dyDescent="0.3">
      <c r="A11" s="28"/>
      <c r="B11" s="57"/>
      <c r="C11" s="56"/>
      <c r="D11" s="52"/>
      <c r="E11" s="53"/>
      <c r="F11" s="54"/>
      <c r="G11" s="54"/>
      <c r="H11" s="55"/>
      <c r="I11" s="24"/>
    </row>
    <row r="12" spans="1:10" ht="17.100000000000001" customHeight="1" x14ac:dyDescent="0.3">
      <c r="A12" s="28"/>
      <c r="B12" s="52" t="s">
        <v>91</v>
      </c>
      <c r="C12" s="52" t="s">
        <v>36</v>
      </c>
      <c r="D12" s="52" t="str">
        <f>'ANA SAYFA'!C4</f>
        <v>Bayramiç</v>
      </c>
      <c r="E12" s="53"/>
      <c r="F12" s="54"/>
      <c r="G12" s="54"/>
      <c r="H12" s="55"/>
      <c r="I12" s="24"/>
    </row>
    <row r="13" spans="1:10" ht="17.100000000000001" customHeight="1" x14ac:dyDescent="0.3">
      <c r="A13" s="28"/>
      <c r="B13" s="57"/>
      <c r="C13" s="52"/>
      <c r="D13" s="52"/>
      <c r="E13" s="53"/>
      <c r="F13" s="54"/>
      <c r="G13" s="54"/>
      <c r="H13" s="55"/>
      <c r="I13" s="24"/>
      <c r="J13" s="24"/>
    </row>
    <row r="14" spans="1:10" ht="18.75" customHeight="1" x14ac:dyDescent="0.3">
      <c r="A14" s="28"/>
      <c r="B14" s="57" t="str">
        <f>'ANA SAYFA'!B5</f>
        <v>Mahalle</v>
      </c>
      <c r="C14" s="52" t="s">
        <v>12</v>
      </c>
      <c r="D14" s="58" t="str">
        <f>'ANA SAYFA'!C5</f>
        <v>Camicedit</v>
      </c>
      <c r="E14" s="53"/>
      <c r="F14" s="54"/>
      <c r="G14" s="54"/>
      <c r="H14" s="55"/>
      <c r="I14" s="24"/>
      <c r="J14" s="24"/>
    </row>
    <row r="15" spans="1:10" ht="17.100000000000001" customHeight="1" x14ac:dyDescent="0.3">
      <c r="A15" s="28"/>
      <c r="B15" s="57"/>
      <c r="C15" s="56"/>
      <c r="D15" s="52"/>
      <c r="E15" s="53"/>
      <c r="F15" s="54"/>
      <c r="G15" s="54"/>
      <c r="H15" s="55"/>
      <c r="I15" s="24"/>
    </row>
    <row r="16" spans="1:10" ht="17.100000000000001" customHeight="1" x14ac:dyDescent="0.3">
      <c r="A16" s="28"/>
      <c r="B16" s="57" t="s">
        <v>92</v>
      </c>
      <c r="C16" s="52" t="s">
        <v>36</v>
      </c>
      <c r="D16" s="52" t="str">
        <f>'ANA SAYFA'!C6</f>
        <v>-</v>
      </c>
      <c r="E16" s="53"/>
      <c r="F16" s="54"/>
      <c r="G16" s="54"/>
      <c r="H16" s="55"/>
      <c r="I16" s="24"/>
    </row>
    <row r="17" spans="1:10" ht="17.100000000000001" customHeight="1" x14ac:dyDescent="0.3">
      <c r="A17" s="28"/>
      <c r="B17" s="57"/>
      <c r="C17" s="52"/>
      <c r="D17" s="52"/>
      <c r="E17" s="53"/>
      <c r="F17" s="54"/>
      <c r="G17" s="54"/>
      <c r="H17" s="55"/>
      <c r="I17" s="24"/>
    </row>
    <row r="18" spans="1:10" ht="17.100000000000001" customHeight="1" x14ac:dyDescent="0.3">
      <c r="A18" s="28"/>
      <c r="B18" s="57" t="s">
        <v>93</v>
      </c>
      <c r="C18" s="52" t="s">
        <v>36</v>
      </c>
      <c r="D18" s="52" t="str">
        <f>'ANA SAYFA'!C7</f>
        <v>-</v>
      </c>
      <c r="E18" s="53"/>
      <c r="F18" s="54"/>
      <c r="G18" s="54"/>
      <c r="H18" s="55"/>
      <c r="I18" s="24"/>
      <c r="J18" s="24"/>
    </row>
    <row r="19" spans="1:10" ht="17.100000000000001" customHeight="1" x14ac:dyDescent="0.3">
      <c r="A19" s="28"/>
      <c r="B19" s="57"/>
      <c r="C19" s="56"/>
      <c r="D19" s="52"/>
      <c r="E19" s="53"/>
      <c r="F19" s="54"/>
      <c r="G19" s="54"/>
      <c r="H19" s="55"/>
      <c r="I19" s="24"/>
    </row>
    <row r="20" spans="1:10" ht="17.100000000000001" customHeight="1" x14ac:dyDescent="0.3">
      <c r="A20" s="28"/>
      <c r="B20" s="57" t="s">
        <v>94</v>
      </c>
      <c r="C20" s="52" t="s">
        <v>36</v>
      </c>
      <c r="D20" s="52">
        <f>'ANA SAYFA'!C8</f>
        <v>557</v>
      </c>
      <c r="E20" s="53"/>
      <c r="F20" s="54"/>
      <c r="G20" s="54"/>
      <c r="H20" s="55"/>
      <c r="I20" s="24"/>
    </row>
    <row r="21" spans="1:10" ht="17.100000000000001" customHeight="1" x14ac:dyDescent="0.3">
      <c r="A21" s="28"/>
      <c r="B21" s="57"/>
      <c r="C21" s="56"/>
      <c r="D21" s="52"/>
      <c r="E21" s="53"/>
      <c r="F21" s="54"/>
      <c r="G21" s="54"/>
      <c r="H21" s="55"/>
      <c r="I21" s="24"/>
      <c r="J21" s="24"/>
    </row>
    <row r="22" spans="1:10" ht="17.100000000000001" customHeight="1" x14ac:dyDescent="0.3">
      <c r="A22" s="28"/>
      <c r="B22" s="59" t="s">
        <v>95</v>
      </c>
      <c r="C22" s="52" t="s">
        <v>36</v>
      </c>
      <c r="D22" s="52">
        <f>'ANA SAYFA'!C9</f>
        <v>1</v>
      </c>
      <c r="E22" s="53"/>
      <c r="F22" s="54"/>
      <c r="G22" s="54"/>
      <c r="H22" s="55"/>
      <c r="I22" s="24"/>
      <c r="J22" s="24"/>
    </row>
    <row r="23" spans="1:10" ht="49.5" customHeight="1" x14ac:dyDescent="0.3">
      <c r="A23" s="76" t="s">
        <v>108</v>
      </c>
      <c r="B23" s="77"/>
      <c r="C23" s="77"/>
      <c r="D23" s="77"/>
      <c r="E23" s="77"/>
      <c r="F23" s="77"/>
      <c r="G23" s="77"/>
      <c r="H23" s="78"/>
    </row>
    <row r="24" spans="1:10" ht="41.25" customHeight="1" x14ac:dyDescent="0.3">
      <c r="A24" s="76"/>
      <c r="B24" s="77"/>
      <c r="C24" s="77"/>
      <c r="D24" s="77"/>
      <c r="E24" s="77"/>
      <c r="F24" s="77"/>
      <c r="G24" s="77"/>
      <c r="H24" s="78"/>
    </row>
    <row r="25" spans="1:10" ht="41.25" customHeight="1" x14ac:dyDescent="0.3">
      <c r="A25" s="73" t="s">
        <v>109</v>
      </c>
      <c r="B25" s="74"/>
      <c r="C25" s="74"/>
      <c r="D25" s="74"/>
      <c r="E25" s="74"/>
      <c r="F25" s="74"/>
      <c r="G25" s="74"/>
      <c r="H25" s="75"/>
    </row>
    <row r="26" spans="1:10" ht="41.25" customHeight="1" x14ac:dyDescent="0.3">
      <c r="A26" s="28"/>
      <c r="H26" s="29"/>
    </row>
    <row r="27" spans="1:10" ht="41.25" customHeight="1" x14ac:dyDescent="0.4">
      <c r="A27" s="85" t="s">
        <v>103</v>
      </c>
      <c r="B27" s="86"/>
      <c r="C27" s="86"/>
      <c r="D27" s="86"/>
      <c r="E27" s="86"/>
      <c r="F27" s="86"/>
      <c r="G27" s="86"/>
      <c r="H27" s="87"/>
    </row>
    <row r="28" spans="1:10" ht="41.25" customHeight="1" x14ac:dyDescent="0.45">
      <c r="A28" s="88" t="s">
        <v>104</v>
      </c>
      <c r="B28" s="89"/>
      <c r="C28" s="89"/>
      <c r="D28" s="89"/>
      <c r="E28" s="89"/>
      <c r="F28" s="89"/>
      <c r="G28" s="89"/>
      <c r="H28" s="90"/>
    </row>
    <row r="29" spans="1:10" ht="38.25" customHeight="1" x14ac:dyDescent="0.3">
      <c r="A29" s="91" t="s">
        <v>105</v>
      </c>
      <c r="B29" s="92"/>
      <c r="C29" s="92"/>
      <c r="D29" s="92"/>
      <c r="E29" s="92"/>
      <c r="F29" s="92"/>
      <c r="G29" s="92"/>
      <c r="H29" s="93"/>
    </row>
    <row r="30" spans="1:10" ht="10.5" customHeight="1" x14ac:dyDescent="0.3">
      <c r="A30" s="94"/>
      <c r="B30" s="95"/>
      <c r="C30" s="95"/>
      <c r="D30" s="95"/>
      <c r="E30" s="95"/>
      <c r="F30" s="95"/>
      <c r="G30" s="95"/>
      <c r="H30" s="96"/>
    </row>
    <row r="31" spans="1:10" ht="63" customHeight="1" x14ac:dyDescent="0.3">
      <c r="A31" s="97" t="s">
        <v>106</v>
      </c>
      <c r="B31" s="98"/>
      <c r="C31" s="98"/>
      <c r="D31" s="98"/>
      <c r="E31" s="98"/>
      <c r="F31" s="98"/>
      <c r="G31" s="98"/>
      <c r="H31" s="99"/>
    </row>
    <row r="32" spans="1:10" ht="15" customHeight="1" x14ac:dyDescent="0.3">
      <c r="A32" s="28"/>
      <c r="H32" s="29"/>
    </row>
    <row r="33" spans="1:8" ht="15" customHeight="1" x14ac:dyDescent="0.3">
      <c r="A33" s="28"/>
      <c r="H33" s="29"/>
    </row>
    <row r="34" spans="1:8" ht="15" customHeight="1" x14ac:dyDescent="0.3">
      <c r="A34" s="82" t="str">
        <f>'ANA SAYFA'!C11</f>
        <v>Bayramiç Belediyesi</v>
      </c>
      <c r="B34" s="83"/>
      <c r="C34" s="83"/>
      <c r="D34" s="83"/>
      <c r="E34" s="83"/>
      <c r="F34" s="83"/>
      <c r="G34" s="83"/>
      <c r="H34" s="84"/>
    </row>
    <row r="35" spans="1:8" ht="15" customHeight="1" x14ac:dyDescent="0.3">
      <c r="A35" s="79" t="s">
        <v>107</v>
      </c>
      <c r="B35" s="80"/>
      <c r="C35" s="80"/>
      <c r="D35" s="80"/>
      <c r="E35" s="80"/>
      <c r="F35" s="80"/>
      <c r="G35" s="80"/>
      <c r="H35" s="81"/>
    </row>
    <row r="36" spans="1:8" ht="28.5" customHeight="1" thickBot="1" x14ac:dyDescent="0.35">
      <c r="A36" s="30"/>
      <c r="B36" s="31"/>
      <c r="C36" s="31"/>
      <c r="D36" s="31"/>
      <c r="E36" s="31"/>
      <c r="F36" s="31"/>
      <c r="G36" s="31"/>
      <c r="H36" s="32"/>
    </row>
    <row r="37" spans="1:8" ht="15" thickTop="1" x14ac:dyDescent="0.3"/>
  </sheetData>
  <mergeCells count="9">
    <mergeCell ref="A25:H25"/>
    <mergeCell ref="A23:H24"/>
    <mergeCell ref="A35:H35"/>
    <mergeCell ref="A34:H34"/>
    <mergeCell ref="A27:H27"/>
    <mergeCell ref="A28:H28"/>
    <mergeCell ref="A29:H29"/>
    <mergeCell ref="A30:H30"/>
    <mergeCell ref="A31:H31"/>
  </mergeCells>
  <pageMargins left="0.91761363636363635" right="0.7" top="0.75" bottom="0.75" header="0.3" footer="0.3"/>
  <pageSetup paperSize="9" scale="8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75"/>
  <sheetViews>
    <sheetView showWhiteSpace="0" view="pageLayout" zoomScale="110" zoomScalePageLayoutView="110" workbookViewId="0">
      <selection activeCell="G16" sqref="G16"/>
    </sheetView>
  </sheetViews>
  <sheetFormatPr defaultRowHeight="14.4" x14ac:dyDescent="0.3"/>
  <cols>
    <col min="1" max="1" width="9.5546875" customWidth="1"/>
    <col min="2" max="2" width="15.109375" customWidth="1"/>
    <col min="7" max="7" width="12" customWidth="1"/>
    <col min="8" max="8" width="13" customWidth="1"/>
    <col min="10" max="10" width="13.5546875" customWidth="1"/>
    <col min="11" max="11" width="14.109375" customWidth="1"/>
    <col min="12" max="12" width="3.109375" customWidth="1"/>
    <col min="13" max="13" width="12.5546875" customWidth="1"/>
    <col min="15" max="15" width="23.109375" customWidth="1"/>
    <col min="16" max="16" width="14.109375" hidden="1" customWidth="1"/>
    <col min="17" max="17" width="15" customWidth="1"/>
    <col min="18" max="18" width="9.88671875" customWidth="1"/>
    <col min="22" max="22" width="8.109375" customWidth="1"/>
    <col min="23" max="23" width="15.6640625" customWidth="1"/>
    <col min="24" max="24" width="6.6640625" customWidth="1"/>
    <col min="25" max="25" width="11" hidden="1" customWidth="1"/>
    <col min="26" max="27" width="9.109375" hidden="1" customWidth="1"/>
  </cols>
  <sheetData>
    <row r="1" spans="1:27" x14ac:dyDescent="0.3">
      <c r="A1" s="1"/>
      <c r="C1" s="43"/>
      <c r="I1" s="1" t="s">
        <v>35</v>
      </c>
      <c r="J1" t="s">
        <v>100</v>
      </c>
      <c r="K1" s="43"/>
      <c r="Q1" s="1"/>
      <c r="S1" s="43"/>
    </row>
    <row r="2" spans="1:27" x14ac:dyDescent="0.3">
      <c r="A2" s="1" t="s">
        <v>34</v>
      </c>
      <c r="B2" t="s">
        <v>66</v>
      </c>
      <c r="C2" s="64"/>
      <c r="D2" s="64"/>
      <c r="I2" s="1" t="s">
        <v>34</v>
      </c>
      <c r="J2" t="s">
        <v>66</v>
      </c>
      <c r="K2" s="64"/>
      <c r="L2" s="64"/>
      <c r="Q2" s="1"/>
      <c r="S2" s="64"/>
      <c r="T2" s="64"/>
      <c r="W2" s="63">
        <f ca="1">TODAY()</f>
        <v>46113</v>
      </c>
    </row>
    <row r="6" spans="1:27" ht="15.6" x14ac:dyDescent="0.3">
      <c r="A6" s="67" t="s">
        <v>31</v>
      </c>
      <c r="B6" s="67"/>
      <c r="C6" s="67"/>
      <c r="D6" s="67"/>
      <c r="E6" s="67"/>
      <c r="F6" s="67"/>
      <c r="G6" s="67"/>
      <c r="H6" s="67"/>
      <c r="I6" s="67" t="s">
        <v>31</v>
      </c>
      <c r="J6" s="67"/>
      <c r="K6" s="67"/>
      <c r="L6" s="67"/>
      <c r="M6" s="67"/>
      <c r="N6" s="67"/>
      <c r="O6" s="67"/>
      <c r="P6" s="67"/>
      <c r="Q6" s="67" t="s">
        <v>31</v>
      </c>
      <c r="R6" s="67"/>
      <c r="S6" s="67"/>
      <c r="T6" s="67"/>
      <c r="U6" s="67"/>
      <c r="V6" s="67"/>
      <c r="W6" s="67"/>
      <c r="X6" s="67"/>
      <c r="Y6" s="60"/>
      <c r="Z6" s="60"/>
      <c r="AA6" s="60"/>
    </row>
    <row r="7" spans="1:27" ht="15.6" x14ac:dyDescent="0.3">
      <c r="A7" s="68" t="s">
        <v>32</v>
      </c>
      <c r="B7" s="68"/>
      <c r="C7" s="68"/>
      <c r="D7" s="68"/>
      <c r="E7" s="68"/>
      <c r="F7" s="68"/>
      <c r="G7" s="68"/>
      <c r="H7" s="68"/>
      <c r="I7" s="68" t="s">
        <v>32</v>
      </c>
      <c r="J7" s="68"/>
      <c r="K7" s="68"/>
      <c r="L7" s="68"/>
      <c r="M7" s="68"/>
      <c r="N7" s="68"/>
      <c r="O7" s="68"/>
      <c r="P7" s="68"/>
      <c r="Q7" s="68" t="s">
        <v>32</v>
      </c>
      <c r="R7" s="68"/>
      <c r="S7" s="68"/>
      <c r="T7" s="68"/>
      <c r="U7" s="68"/>
      <c r="V7" s="68"/>
      <c r="W7" s="68"/>
      <c r="X7" s="68"/>
      <c r="Y7" s="60"/>
      <c r="Z7" s="60"/>
      <c r="AA7" s="60"/>
    </row>
    <row r="10" spans="1:27" ht="15.75" customHeight="1" x14ac:dyDescent="0.3"/>
    <row r="11" spans="1:27" ht="15.75" customHeight="1" x14ac:dyDescent="0.3"/>
    <row r="12" spans="1:27" ht="15.75" customHeight="1" x14ac:dyDescent="0.3">
      <c r="A12" s="66" t="s">
        <v>33</v>
      </c>
      <c r="B12" s="66"/>
      <c r="C12" s="66"/>
      <c r="D12" s="66"/>
      <c r="E12" s="66"/>
      <c r="F12" s="66"/>
      <c r="I12" s="66" t="s">
        <v>33</v>
      </c>
      <c r="J12" s="66"/>
      <c r="K12" s="66"/>
      <c r="L12" s="66"/>
      <c r="M12" s="66"/>
      <c r="N12" s="66"/>
      <c r="Q12" s="66"/>
      <c r="R12" s="66"/>
      <c r="S12" s="66"/>
      <c r="T12" s="66"/>
      <c r="U12" s="66"/>
      <c r="V12" s="66"/>
    </row>
    <row r="14" spans="1:27" x14ac:dyDescent="0.3">
      <c r="A14" s="69" t="s">
        <v>47</v>
      </c>
      <c r="B14" s="69"/>
      <c r="C14" s="69"/>
      <c r="G14" s="51"/>
      <c r="I14" s="69" t="s">
        <v>47</v>
      </c>
      <c r="J14" s="69"/>
      <c r="K14" s="69"/>
      <c r="Q14" s="69" t="s">
        <v>47</v>
      </c>
      <c r="R14" s="69"/>
      <c r="S14" s="69"/>
      <c r="W14" s="51"/>
    </row>
    <row r="15" spans="1:27" x14ac:dyDescent="0.3">
      <c r="A15" s="47"/>
      <c r="B15" s="47"/>
      <c r="C15" s="47"/>
      <c r="G15" s="13"/>
      <c r="I15" s="47"/>
      <c r="J15" s="47"/>
      <c r="K15" s="47"/>
      <c r="O15" s="13" t="s">
        <v>9</v>
      </c>
      <c r="Q15" s="47"/>
      <c r="R15" s="47"/>
      <c r="S15" s="47"/>
      <c r="W15" s="13" t="s">
        <v>9</v>
      </c>
      <c r="Y15" s="13"/>
    </row>
    <row r="16" spans="1:27" x14ac:dyDescent="0.3">
      <c r="A16" s="42" t="s">
        <v>48</v>
      </c>
      <c r="B16" s="7" t="str">
        <f>'ANA SAYFA'!C2</f>
        <v>AY-TOKLAR Mob. Gıd. Tur. Ltd. Şti.</v>
      </c>
      <c r="C16" s="13"/>
      <c r="G16" s="13"/>
      <c r="I16" s="42" t="s">
        <v>48</v>
      </c>
      <c r="J16" s="7" t="str">
        <f>'ANA SAYFA'!C2</f>
        <v>AY-TOKLAR Mob. Gıd. Tur. Ltd. Şti.</v>
      </c>
      <c r="K16" s="13"/>
      <c r="O16" s="13">
        <v>32563220328</v>
      </c>
      <c r="Q16" s="42" t="s">
        <v>48</v>
      </c>
      <c r="R16" s="7" t="str">
        <f>'ANA SAYFA'!C2</f>
        <v>AY-TOKLAR Mob. Gıd. Tur. Ltd. Şti.</v>
      </c>
      <c r="S16" s="13"/>
      <c r="W16" s="13">
        <v>32563220328</v>
      </c>
      <c r="Y16" s="13"/>
    </row>
    <row r="17" spans="1:27" x14ac:dyDescent="0.3">
      <c r="A17" s="42" t="s">
        <v>72</v>
      </c>
      <c r="B17" s="7" t="str">
        <f>'ANA SAYFA'!C3</f>
        <v>Çanakkale</v>
      </c>
      <c r="C17" s="13"/>
      <c r="I17" s="42" t="s">
        <v>72</v>
      </c>
      <c r="J17" s="7" t="str">
        <f>'ANA SAYFA'!C3</f>
        <v>Çanakkale</v>
      </c>
      <c r="K17" s="13"/>
      <c r="Q17" s="42" t="s">
        <v>72</v>
      </c>
      <c r="R17" s="7" t="str">
        <f>'ANA SAYFA'!C3</f>
        <v>Çanakkale</v>
      </c>
      <c r="S17" s="13"/>
    </row>
    <row r="18" spans="1:27" x14ac:dyDescent="0.3">
      <c r="A18" s="42" t="s">
        <v>73</v>
      </c>
      <c r="B18" s="7" t="str">
        <f>'ANA SAYFA'!C4</f>
        <v>Bayramiç</v>
      </c>
      <c r="C18" s="13"/>
      <c r="I18" s="42" t="s">
        <v>73</v>
      </c>
      <c r="J18" s="7" t="str">
        <f>'ANA SAYFA'!C4</f>
        <v>Bayramiç</v>
      </c>
      <c r="K18" s="13"/>
      <c r="Q18" s="42" t="s">
        <v>73</v>
      </c>
      <c r="R18" s="7" t="str">
        <f>'ANA SAYFA'!C4</f>
        <v>Bayramiç</v>
      </c>
      <c r="S18" s="13"/>
    </row>
    <row r="19" spans="1:27" x14ac:dyDescent="0.3">
      <c r="A19" s="42" t="s">
        <v>99</v>
      </c>
      <c r="B19" s="7" t="str">
        <f>'ANA SAYFA'!C5</f>
        <v>Camicedit</v>
      </c>
      <c r="C19" s="13"/>
      <c r="I19" s="42" t="s">
        <v>49</v>
      </c>
      <c r="J19" s="7" t="str">
        <f>'ANA SAYFA'!C5</f>
        <v>Camicedit</v>
      </c>
      <c r="K19" s="13"/>
      <c r="Q19" s="42" t="s">
        <v>49</v>
      </c>
      <c r="R19" s="7" t="str">
        <f>'ANA SAYFA'!C5</f>
        <v>Camicedit</v>
      </c>
      <c r="S19" s="13"/>
    </row>
    <row r="20" spans="1:27" x14ac:dyDescent="0.3">
      <c r="A20" s="42" t="s">
        <v>74</v>
      </c>
      <c r="B20" s="7" t="str">
        <f>'ANA SAYFA'!C7</f>
        <v>-</v>
      </c>
      <c r="C20" s="13"/>
      <c r="I20" s="42" t="s">
        <v>74</v>
      </c>
      <c r="J20" s="7" t="str">
        <f>'ANA SAYFA'!C7</f>
        <v>-</v>
      </c>
      <c r="K20" s="13"/>
      <c r="Q20" s="42" t="s">
        <v>74</v>
      </c>
      <c r="R20" s="61" t="str">
        <f>'ANA SAYFA'!C7</f>
        <v>-</v>
      </c>
      <c r="S20" s="13"/>
    </row>
    <row r="21" spans="1:27" x14ac:dyDescent="0.3">
      <c r="A21" s="42" t="s">
        <v>75</v>
      </c>
      <c r="B21" s="7">
        <f>'ANA SAYFA'!C8</f>
        <v>557</v>
      </c>
      <c r="I21" s="42" t="s">
        <v>75</v>
      </c>
      <c r="J21" s="7">
        <f>'ANA SAYFA'!C8</f>
        <v>557</v>
      </c>
      <c r="Q21" s="42" t="s">
        <v>75</v>
      </c>
      <c r="R21" s="7">
        <f>'ANA SAYFA'!C8</f>
        <v>557</v>
      </c>
    </row>
    <row r="22" spans="1:27" x14ac:dyDescent="0.3">
      <c r="A22" s="42" t="s">
        <v>76</v>
      </c>
      <c r="B22" s="7">
        <f>'ANA SAYFA'!C9</f>
        <v>1</v>
      </c>
      <c r="C22" s="41"/>
      <c r="I22" s="42" t="s">
        <v>76</v>
      </c>
      <c r="J22" s="7">
        <f>'ANA SAYFA'!C9</f>
        <v>1</v>
      </c>
      <c r="K22" s="41"/>
      <c r="Q22" s="42" t="s">
        <v>76</v>
      </c>
      <c r="R22" s="61">
        <f>'ANA SAYFA'!C9</f>
        <v>1</v>
      </c>
      <c r="S22" s="41"/>
    </row>
    <row r="24" spans="1:27"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65"/>
      <c r="AA24" s="66"/>
    </row>
    <row r="25" spans="1:27" x14ac:dyDescent="0.3">
      <c r="A25" t="s">
        <v>101</v>
      </c>
      <c r="I25" t="s">
        <v>101</v>
      </c>
      <c r="Q25" t="s">
        <v>101</v>
      </c>
    </row>
    <row r="26" spans="1:27" x14ac:dyDescent="0.3">
      <c r="A26" t="s">
        <v>50</v>
      </c>
      <c r="I26" t="s">
        <v>50</v>
      </c>
      <c r="Q26" t="s">
        <v>50</v>
      </c>
    </row>
    <row r="27" spans="1:27" x14ac:dyDescent="0.3">
      <c r="A27" t="s">
        <v>64</v>
      </c>
      <c r="I27" t="s">
        <v>64</v>
      </c>
      <c r="Q27" t="s">
        <v>64</v>
      </c>
    </row>
    <row r="51" spans="1:18" x14ac:dyDescent="0.3">
      <c r="J51" s="1"/>
      <c r="L51" s="43"/>
    </row>
    <row r="52" spans="1:18" x14ac:dyDescent="0.3">
      <c r="A52" s="1"/>
      <c r="C52" s="43"/>
      <c r="J52" s="1"/>
      <c r="L52" s="64"/>
      <c r="M52" s="64"/>
    </row>
    <row r="53" spans="1:18" x14ac:dyDescent="0.3">
      <c r="A53" s="1"/>
      <c r="C53" s="64"/>
      <c r="D53" s="64"/>
    </row>
    <row r="56" spans="1:18" ht="15.6" x14ac:dyDescent="0.3">
      <c r="J56" s="67"/>
      <c r="K56" s="67"/>
      <c r="L56" s="67"/>
      <c r="M56" s="67"/>
      <c r="N56" s="67"/>
      <c r="O56" s="67"/>
      <c r="P56" s="67"/>
      <c r="Q56" s="67"/>
      <c r="R56" s="67"/>
    </row>
    <row r="57" spans="1:18" ht="15.6" x14ac:dyDescent="0.3">
      <c r="A57" s="67"/>
      <c r="B57" s="67"/>
      <c r="C57" s="67"/>
      <c r="D57" s="67"/>
      <c r="E57" s="67"/>
      <c r="F57" s="67"/>
      <c r="G57" s="67"/>
      <c r="H57" s="67"/>
      <c r="I57" s="67"/>
      <c r="J57" s="68"/>
      <c r="K57" s="68"/>
      <c r="L57" s="68"/>
      <c r="M57" s="68"/>
      <c r="N57" s="68"/>
      <c r="O57" s="68"/>
      <c r="P57" s="68"/>
      <c r="Q57" s="68"/>
      <c r="R57" s="68"/>
    </row>
    <row r="58" spans="1:18" ht="15.6" x14ac:dyDescent="0.3">
      <c r="A58" s="68"/>
      <c r="B58" s="68"/>
      <c r="C58" s="68"/>
      <c r="D58" s="68"/>
      <c r="E58" s="68"/>
      <c r="F58" s="68"/>
      <c r="G58" s="68"/>
      <c r="H58" s="68"/>
      <c r="I58" s="68"/>
    </row>
    <row r="62" spans="1:18" x14ac:dyDescent="0.3">
      <c r="J62" s="66"/>
      <c r="K62" s="66"/>
      <c r="L62" s="66"/>
      <c r="M62" s="66"/>
      <c r="N62" s="66"/>
      <c r="O62" s="66"/>
    </row>
    <row r="63" spans="1:18" x14ac:dyDescent="0.3">
      <c r="A63" s="66"/>
      <c r="B63" s="66"/>
      <c r="C63" s="66"/>
      <c r="D63" s="66"/>
      <c r="E63" s="66"/>
      <c r="F63" s="66"/>
    </row>
    <row r="64" spans="1:18" x14ac:dyDescent="0.3">
      <c r="J64" s="69"/>
      <c r="K64" s="69"/>
      <c r="L64" s="69"/>
    </row>
    <row r="65" spans="1:18" x14ac:dyDescent="0.3">
      <c r="A65" s="69"/>
      <c r="B65" s="69"/>
      <c r="C65" s="69"/>
      <c r="J65" s="47"/>
      <c r="K65" s="47"/>
      <c r="L65" s="47"/>
      <c r="P65" s="13"/>
    </row>
    <row r="66" spans="1:18" x14ac:dyDescent="0.3">
      <c r="A66" s="47"/>
      <c r="B66" s="47"/>
      <c r="C66" s="47"/>
      <c r="G66" s="13"/>
      <c r="J66" s="42"/>
      <c r="K66" s="7"/>
      <c r="L66" s="13"/>
      <c r="P66" s="13"/>
    </row>
    <row r="67" spans="1:18" x14ac:dyDescent="0.3">
      <c r="A67" s="42"/>
      <c r="B67" s="7"/>
      <c r="C67" s="13"/>
      <c r="G67" s="13"/>
      <c r="J67" s="42"/>
      <c r="K67" s="7"/>
      <c r="L67" s="13"/>
    </row>
    <row r="68" spans="1:18" x14ac:dyDescent="0.3">
      <c r="A68" s="42"/>
      <c r="B68" s="7"/>
      <c r="C68" s="13"/>
      <c r="J68" s="42"/>
      <c r="K68" s="7"/>
      <c r="L68" s="13"/>
    </row>
    <row r="69" spans="1:18" x14ac:dyDescent="0.3">
      <c r="A69" s="42"/>
      <c r="B69" s="7"/>
      <c r="C69" s="13"/>
      <c r="J69" s="42"/>
      <c r="K69" s="7"/>
      <c r="L69" s="13"/>
    </row>
    <row r="70" spans="1:18" x14ac:dyDescent="0.3">
      <c r="A70" s="42"/>
      <c r="B70" s="7"/>
      <c r="C70" s="13"/>
      <c r="J70" s="42"/>
      <c r="K70" s="7"/>
      <c r="L70" s="13"/>
    </row>
    <row r="71" spans="1:18" x14ac:dyDescent="0.3">
      <c r="A71" s="42"/>
      <c r="B71" s="7"/>
      <c r="C71" s="13"/>
      <c r="J71" s="42"/>
      <c r="K71" s="7"/>
    </row>
    <row r="72" spans="1:18" x14ac:dyDescent="0.3">
      <c r="A72" s="42"/>
      <c r="B72" s="7"/>
      <c r="J72" s="42"/>
      <c r="K72" s="7"/>
      <c r="L72" s="41"/>
    </row>
    <row r="73" spans="1:18" x14ac:dyDescent="0.3">
      <c r="A73" s="42"/>
      <c r="B73" s="7"/>
      <c r="C73" s="41"/>
    </row>
    <row r="74" spans="1:18" x14ac:dyDescent="0.3">
      <c r="J74" s="13"/>
      <c r="K74" s="7"/>
      <c r="L74" s="41"/>
      <c r="M74" s="13"/>
      <c r="N74" s="41"/>
      <c r="P74" s="13"/>
      <c r="Q74" s="65"/>
      <c r="R74" s="66"/>
    </row>
    <row r="75" spans="1:18" x14ac:dyDescent="0.3">
      <c r="A75" s="13"/>
      <c r="B75" s="7"/>
      <c r="C75" s="41"/>
      <c r="D75" s="13"/>
      <c r="E75" s="41"/>
      <c r="G75" s="13"/>
      <c r="H75" s="65"/>
      <c r="I75" s="66"/>
    </row>
  </sheetData>
  <mergeCells count="28">
    <mergeCell ref="A58:I58"/>
    <mergeCell ref="A63:F63"/>
    <mergeCell ref="A65:C65"/>
    <mergeCell ref="H75:I75"/>
    <mergeCell ref="L52:M52"/>
    <mergeCell ref="J56:R56"/>
    <mergeCell ref="J57:R57"/>
    <mergeCell ref="J62:O62"/>
    <mergeCell ref="J64:L64"/>
    <mergeCell ref="Q74:R74"/>
    <mergeCell ref="C53:D53"/>
    <mergeCell ref="A57:I57"/>
    <mergeCell ref="C2:D2"/>
    <mergeCell ref="A14:C14"/>
    <mergeCell ref="A12:F12"/>
    <mergeCell ref="A6:H6"/>
    <mergeCell ref="A7:H7"/>
    <mergeCell ref="K2:L2"/>
    <mergeCell ref="Z24:AA24"/>
    <mergeCell ref="S2:T2"/>
    <mergeCell ref="Q6:X6"/>
    <mergeCell ref="I6:P6"/>
    <mergeCell ref="Q7:X7"/>
    <mergeCell ref="Q12:V12"/>
    <mergeCell ref="Q14:S14"/>
    <mergeCell ref="I7:P7"/>
    <mergeCell ref="I12:N12"/>
    <mergeCell ref="I14:K14"/>
  </mergeCells>
  <pageMargins left="0.7" right="0.7" top="0.75" bottom="0.75" header="0.3" footer="0.3"/>
  <pageSetup paperSize="9" orientation="portrait" horizont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2"/>
  <sheetViews>
    <sheetView tabSelected="1" zoomScaleSheetLayoutView="70" zoomScalePageLayoutView="85" workbookViewId="0">
      <selection activeCell="M29" sqref="M29"/>
    </sheetView>
  </sheetViews>
  <sheetFormatPr defaultRowHeight="14.4" x14ac:dyDescent="0.3"/>
  <cols>
    <col min="1" max="1" width="10.5546875" customWidth="1"/>
    <col min="3" max="3" width="7.44140625" customWidth="1"/>
    <col min="4" max="4" width="11.44140625" customWidth="1"/>
    <col min="5" max="5" width="10.88671875" customWidth="1"/>
    <col min="9" max="9" width="9.88671875" customWidth="1"/>
    <col min="10" max="10" width="10.5546875" customWidth="1"/>
    <col min="13" max="13" width="14.109375" customWidth="1"/>
    <col min="14" max="14" width="8.5546875" customWidth="1"/>
    <col min="18" max="18" width="6.6640625" customWidth="1"/>
    <col min="19" max="19" width="11" customWidth="1"/>
    <col min="20" max="20" width="8.33203125" customWidth="1"/>
    <col min="21" max="21" width="8.44140625" customWidth="1"/>
    <col min="22" max="22" width="11" customWidth="1"/>
    <col min="27" max="27" width="10.5546875" customWidth="1"/>
  </cols>
  <sheetData>
    <row r="1" spans="1:27" ht="30.75" customHeight="1" x14ac:dyDescent="0.3"/>
    <row r="3" spans="1:27" ht="21" customHeight="1" x14ac:dyDescent="0.3">
      <c r="A3" s="103" t="s">
        <v>6</v>
      </c>
      <c r="B3" s="104"/>
      <c r="C3" s="104"/>
      <c r="D3" s="104"/>
      <c r="E3" s="104"/>
      <c r="F3" s="104"/>
      <c r="G3" s="104"/>
      <c r="H3" s="104"/>
      <c r="I3" s="105"/>
      <c r="J3" s="103" t="s">
        <v>6</v>
      </c>
      <c r="K3" s="104"/>
      <c r="L3" s="104"/>
      <c r="M3" s="104"/>
      <c r="N3" s="104"/>
      <c r="O3" s="104"/>
      <c r="P3" s="104"/>
      <c r="Q3" s="104"/>
      <c r="R3" s="105"/>
      <c r="S3" s="103" t="s">
        <v>6</v>
      </c>
      <c r="T3" s="104"/>
      <c r="U3" s="104"/>
      <c r="V3" s="104"/>
      <c r="W3" s="104"/>
      <c r="X3" s="104"/>
      <c r="Y3" s="104"/>
      <c r="Z3" s="104"/>
      <c r="AA3" s="105"/>
    </row>
    <row r="4" spans="1:27" x14ac:dyDescent="0.3">
      <c r="A4" s="2" t="s">
        <v>7</v>
      </c>
      <c r="B4" s="3" t="s">
        <v>12</v>
      </c>
      <c r="C4" s="4">
        <v>1982</v>
      </c>
      <c r="D4" s="3"/>
      <c r="E4" s="3"/>
      <c r="F4" s="3"/>
      <c r="G4" s="3"/>
      <c r="H4" s="3"/>
      <c r="I4" s="5"/>
      <c r="J4" s="2" t="s">
        <v>7</v>
      </c>
      <c r="K4" s="3" t="s">
        <v>12</v>
      </c>
      <c r="L4" s="4">
        <v>7400</v>
      </c>
      <c r="M4" s="3"/>
      <c r="N4" s="3"/>
      <c r="O4" s="3"/>
      <c r="P4" s="3"/>
      <c r="Q4" s="3"/>
      <c r="R4" s="5"/>
      <c r="S4" s="2" t="s">
        <v>7</v>
      </c>
      <c r="T4" s="3" t="s">
        <v>36</v>
      </c>
      <c r="U4" s="4">
        <v>72442</v>
      </c>
      <c r="W4" s="3" t="s">
        <v>83</v>
      </c>
      <c r="X4" s="3"/>
      <c r="Y4" s="3"/>
      <c r="Z4" s="3"/>
      <c r="AA4" s="5"/>
    </row>
    <row r="5" spans="1:27" x14ac:dyDescent="0.3">
      <c r="A5" s="6" t="s">
        <v>13</v>
      </c>
      <c r="B5" t="s">
        <v>12</v>
      </c>
      <c r="C5" s="7" t="s">
        <v>14</v>
      </c>
      <c r="I5" s="8"/>
      <c r="J5" s="6" t="s">
        <v>13</v>
      </c>
      <c r="K5" t="s">
        <v>12</v>
      </c>
      <c r="L5" s="7" t="s">
        <v>27</v>
      </c>
      <c r="R5" s="8"/>
      <c r="S5" s="6" t="s">
        <v>13</v>
      </c>
      <c r="T5" t="s">
        <v>12</v>
      </c>
      <c r="U5" s="7" t="s">
        <v>86</v>
      </c>
      <c r="AA5" s="8"/>
    </row>
    <row r="6" spans="1:27" x14ac:dyDescent="0.3">
      <c r="A6" s="6" t="s">
        <v>15</v>
      </c>
      <c r="B6" t="s">
        <v>12</v>
      </c>
      <c r="C6" s="7" t="s">
        <v>101</v>
      </c>
      <c r="I6" s="8"/>
      <c r="J6" s="6" t="s">
        <v>15</v>
      </c>
      <c r="K6" t="s">
        <v>12</v>
      </c>
      <c r="L6" s="38" t="s">
        <v>101</v>
      </c>
      <c r="R6" s="8"/>
      <c r="S6" s="6" t="s">
        <v>15</v>
      </c>
      <c r="T6" t="s">
        <v>12</v>
      </c>
      <c r="U6" s="34" t="s">
        <v>81</v>
      </c>
      <c r="AA6" s="8"/>
    </row>
    <row r="7" spans="1:27" x14ac:dyDescent="0.3">
      <c r="A7" s="9" t="s">
        <v>85</v>
      </c>
      <c r="B7" s="10" t="s">
        <v>12</v>
      </c>
      <c r="C7" s="10" t="s">
        <v>16</v>
      </c>
      <c r="D7" s="10"/>
      <c r="E7" s="10"/>
      <c r="F7" s="10"/>
      <c r="G7" s="10"/>
      <c r="H7" s="10"/>
      <c r="I7" s="11"/>
      <c r="J7" s="9" t="s">
        <v>85</v>
      </c>
      <c r="K7" s="10" t="s">
        <v>12</v>
      </c>
      <c r="L7" s="10" t="s">
        <v>28</v>
      </c>
      <c r="M7" s="10"/>
      <c r="N7" s="10"/>
      <c r="O7" s="10"/>
      <c r="P7" s="10"/>
      <c r="Q7" s="10"/>
      <c r="R7" s="11"/>
      <c r="S7" s="9" t="s">
        <v>84</v>
      </c>
      <c r="T7" s="10" t="s">
        <v>12</v>
      </c>
      <c r="U7" s="10" t="s">
        <v>82</v>
      </c>
      <c r="V7" s="10"/>
      <c r="W7" s="10"/>
      <c r="X7" s="10"/>
      <c r="Y7" s="10"/>
      <c r="Z7" s="10"/>
      <c r="AA7" s="11"/>
    </row>
    <row r="9" spans="1:27" ht="14.25" customHeight="1" x14ac:dyDescent="0.3">
      <c r="A9" s="106" t="s">
        <v>8</v>
      </c>
      <c r="B9" s="107"/>
      <c r="C9" s="107"/>
      <c r="D9" s="107"/>
      <c r="E9" s="107"/>
      <c r="F9" s="107"/>
      <c r="G9" s="107"/>
      <c r="H9" s="107"/>
      <c r="I9" s="108"/>
      <c r="J9" s="106" t="s">
        <v>8</v>
      </c>
      <c r="K9" s="107"/>
      <c r="L9" s="107"/>
      <c r="M9" s="107"/>
      <c r="N9" s="107"/>
      <c r="O9" s="107"/>
      <c r="P9" s="107"/>
      <c r="Q9" s="107"/>
      <c r="R9" s="108"/>
      <c r="S9" s="106" t="s">
        <v>8</v>
      </c>
      <c r="T9" s="107"/>
      <c r="U9" s="107"/>
      <c r="V9" s="107"/>
      <c r="W9" s="107"/>
      <c r="X9" s="107"/>
      <c r="Y9" s="107"/>
      <c r="Z9" s="107"/>
      <c r="AA9" s="108"/>
    </row>
    <row r="10" spans="1:27" x14ac:dyDescent="0.3">
      <c r="A10" s="12"/>
      <c r="B10" s="3"/>
      <c r="C10" s="3"/>
      <c r="D10" s="3"/>
      <c r="E10" s="3"/>
      <c r="F10" s="3"/>
      <c r="G10" s="3"/>
      <c r="H10" s="3"/>
      <c r="I10" s="3"/>
      <c r="J10" s="12"/>
      <c r="K10" s="3"/>
      <c r="L10" s="3"/>
      <c r="M10" s="3"/>
      <c r="N10" s="3"/>
      <c r="O10" s="3"/>
      <c r="P10" s="3"/>
      <c r="Q10" s="3"/>
      <c r="R10" s="5"/>
      <c r="S10" s="12"/>
      <c r="T10" s="3"/>
      <c r="U10" s="3"/>
      <c r="V10" s="3"/>
      <c r="W10" s="3"/>
      <c r="X10" s="3"/>
      <c r="Y10" s="3"/>
      <c r="Z10" s="3"/>
      <c r="AA10" s="5"/>
    </row>
    <row r="11" spans="1:27" x14ac:dyDescent="0.3">
      <c r="A11" s="6" t="s">
        <v>17</v>
      </c>
      <c r="C11" t="s">
        <v>12</v>
      </c>
      <c r="D11" t="str">
        <f>'ANA SAYFA'!C3</f>
        <v>Çanakkale</v>
      </c>
      <c r="E11" s="17" t="str">
        <f>'ANA SAYFA'!C4</f>
        <v>Bayramiç</v>
      </c>
      <c r="I11" s="8"/>
      <c r="J11" s="6" t="s">
        <v>17</v>
      </c>
      <c r="L11" t="s">
        <v>12</v>
      </c>
      <c r="M11" t="str">
        <f t="shared" ref="M11:M16" si="0">D11</f>
        <v>Çanakkale</v>
      </c>
      <c r="N11" s="17" t="str">
        <f>E11</f>
        <v>Bayramiç</v>
      </c>
      <c r="R11" s="8"/>
      <c r="S11" s="6" t="s">
        <v>17</v>
      </c>
      <c r="U11" t="s">
        <v>12</v>
      </c>
      <c r="V11" t="str">
        <f t="shared" ref="V11:V16" si="1">M11</f>
        <v>Çanakkale</v>
      </c>
      <c r="AA11" s="8"/>
    </row>
    <row r="12" spans="1:27" x14ac:dyDescent="0.3">
      <c r="A12" s="6" t="s">
        <v>18</v>
      </c>
      <c r="C12" t="s">
        <v>12</v>
      </c>
      <c r="D12" t="str">
        <f>'ANA SAYFA'!C11</f>
        <v>Bayramiç Belediyesi</v>
      </c>
      <c r="I12" s="8"/>
      <c r="J12" s="6" t="s">
        <v>18</v>
      </c>
      <c r="L12" t="s">
        <v>12</v>
      </c>
      <c r="M12" t="str">
        <f t="shared" si="0"/>
        <v>Bayramiç Belediyesi</v>
      </c>
      <c r="R12" s="8"/>
      <c r="S12" s="6" t="s">
        <v>18</v>
      </c>
      <c r="U12" t="s">
        <v>12</v>
      </c>
      <c r="V12" t="str">
        <f t="shared" si="1"/>
        <v>Bayramiç Belediyesi</v>
      </c>
      <c r="AA12" s="8"/>
    </row>
    <row r="13" spans="1:27" x14ac:dyDescent="0.3">
      <c r="A13" s="6" t="s">
        <v>19</v>
      </c>
      <c r="C13" t="s">
        <v>12</v>
      </c>
      <c r="D13" s="62" t="str">
        <f>'ANA SAYFA'!C7</f>
        <v>-</v>
      </c>
      <c r="E13" s="13"/>
      <c r="F13" s="13">
        <f>'ANA SAYFA'!C8</f>
        <v>557</v>
      </c>
      <c r="G13">
        <f>'ANA SAYFA'!C9</f>
        <v>1</v>
      </c>
      <c r="H13" s="64"/>
      <c r="I13" s="110"/>
      <c r="J13" s="6" t="s">
        <v>19</v>
      </c>
      <c r="L13" t="s">
        <v>12</v>
      </c>
      <c r="M13" s="111" t="str">
        <f>D13</f>
        <v>-</v>
      </c>
      <c r="N13" s="66"/>
      <c r="O13" s="13">
        <f>F13</f>
        <v>557</v>
      </c>
      <c r="P13" s="13">
        <f>G13</f>
        <v>1</v>
      </c>
      <c r="Q13" s="64"/>
      <c r="R13" s="110"/>
      <c r="S13" s="6" t="s">
        <v>19</v>
      </c>
      <c r="U13" t="s">
        <v>12</v>
      </c>
      <c r="V13" s="13" t="str">
        <f t="shared" si="1"/>
        <v>-</v>
      </c>
      <c r="W13" s="13"/>
      <c r="X13" s="13">
        <f>O13</f>
        <v>557</v>
      </c>
      <c r="Y13" s="13">
        <f>P13</f>
        <v>1</v>
      </c>
      <c r="Z13" s="13"/>
      <c r="AA13" s="8"/>
    </row>
    <row r="14" spans="1:27" x14ac:dyDescent="0.3">
      <c r="A14" s="6" t="s">
        <v>20</v>
      </c>
      <c r="C14" t="s">
        <v>12</v>
      </c>
      <c r="D14" t="str">
        <f>D16</f>
        <v>Camicedit Mah. Bayramiç Çanakkale</v>
      </c>
      <c r="I14" s="8"/>
      <c r="J14" s="6" t="s">
        <v>20</v>
      </c>
      <c r="L14" t="s">
        <v>12</v>
      </c>
      <c r="M14" t="str">
        <f t="shared" si="0"/>
        <v>Camicedit Mah. Bayramiç Çanakkale</v>
      </c>
      <c r="R14" s="8"/>
      <c r="S14" s="6" t="s">
        <v>20</v>
      </c>
      <c r="U14" t="s">
        <v>12</v>
      </c>
      <c r="V14" t="str">
        <f t="shared" si="1"/>
        <v>Camicedit Mah. Bayramiç Çanakkale</v>
      </c>
      <c r="AA14" s="8"/>
    </row>
    <row r="15" spans="1:27" x14ac:dyDescent="0.3">
      <c r="A15" s="6" t="s">
        <v>21</v>
      </c>
      <c r="C15" t="s">
        <v>12</v>
      </c>
      <c r="D15" t="str">
        <f>'ANA SAYFA'!C2</f>
        <v>AY-TOKLAR Mob. Gıd. Tur. Ltd. Şti.</v>
      </c>
      <c r="I15" s="8"/>
      <c r="J15" s="6" t="s">
        <v>21</v>
      </c>
      <c r="L15" t="s">
        <v>12</v>
      </c>
      <c r="M15" t="str">
        <f t="shared" si="0"/>
        <v>AY-TOKLAR Mob. Gıd. Tur. Ltd. Şti.</v>
      </c>
      <c r="R15" s="8"/>
      <c r="S15" s="6" t="s">
        <v>21</v>
      </c>
      <c r="U15" t="s">
        <v>12</v>
      </c>
      <c r="V15" t="str">
        <f t="shared" si="1"/>
        <v>AY-TOKLAR Mob. Gıd. Tur. Ltd. Şti.</v>
      </c>
      <c r="AA15" s="8"/>
    </row>
    <row r="16" spans="1:27" x14ac:dyDescent="0.3">
      <c r="A16" s="6" t="s">
        <v>22</v>
      </c>
      <c r="C16" t="s">
        <v>12</v>
      </c>
      <c r="D16" t="str">
        <f>'ANA SAYFA'!C12</f>
        <v>Camicedit Mah. Bayramiç Çanakkale</v>
      </c>
      <c r="I16" s="8"/>
      <c r="J16" s="6" t="s">
        <v>22</v>
      </c>
      <c r="L16" t="s">
        <v>12</v>
      </c>
      <c r="M16" t="str">
        <f t="shared" si="0"/>
        <v>Camicedit Mah. Bayramiç Çanakkale</v>
      </c>
      <c r="R16" s="8"/>
      <c r="S16" s="6" t="s">
        <v>22</v>
      </c>
      <c r="U16" t="s">
        <v>12</v>
      </c>
      <c r="V16" t="str">
        <f t="shared" si="1"/>
        <v>Camicedit Mah. Bayramiç Çanakkale</v>
      </c>
      <c r="AA16" s="8"/>
    </row>
    <row r="17" spans="1:27" x14ac:dyDescent="0.3">
      <c r="A17" s="6" t="s">
        <v>23</v>
      </c>
      <c r="C17" t="s">
        <v>12</v>
      </c>
      <c r="D17" t="s">
        <v>24</v>
      </c>
      <c r="I17" s="8"/>
      <c r="J17" s="6" t="s">
        <v>23</v>
      </c>
      <c r="L17" t="s">
        <v>12</v>
      </c>
      <c r="M17" t="s">
        <v>24</v>
      </c>
      <c r="R17" s="8"/>
      <c r="S17" s="6" t="s">
        <v>23</v>
      </c>
      <c r="U17" t="s">
        <v>12</v>
      </c>
      <c r="V17" t="s">
        <v>87</v>
      </c>
      <c r="AA17" s="8"/>
    </row>
    <row r="18" spans="1:27" x14ac:dyDescent="0.3">
      <c r="A18" s="14"/>
      <c r="B18" s="10"/>
      <c r="C18" s="10"/>
      <c r="D18" s="10"/>
      <c r="E18" s="10"/>
      <c r="F18" s="10"/>
      <c r="G18" s="10"/>
      <c r="H18" s="10"/>
      <c r="I18" s="11"/>
      <c r="J18" s="14"/>
      <c r="K18" s="10"/>
      <c r="L18" s="10"/>
      <c r="M18" s="10"/>
      <c r="N18" s="10"/>
      <c r="O18" s="10"/>
      <c r="P18" s="10"/>
      <c r="Q18" s="10"/>
      <c r="R18" s="11"/>
      <c r="S18" s="14"/>
      <c r="T18" s="10"/>
      <c r="U18" s="10"/>
      <c r="V18" s="10"/>
      <c r="W18" s="10"/>
      <c r="X18" s="10"/>
      <c r="Y18" s="10"/>
      <c r="Z18" s="10"/>
      <c r="AA18" s="11"/>
    </row>
    <row r="20" spans="1:27" x14ac:dyDescent="0.3">
      <c r="A20" s="12"/>
      <c r="B20" s="15"/>
      <c r="C20" s="3"/>
      <c r="D20" s="3"/>
      <c r="E20" s="3"/>
      <c r="F20" s="3"/>
      <c r="G20" s="3"/>
      <c r="H20" s="3"/>
      <c r="I20" s="5"/>
      <c r="J20" s="12"/>
      <c r="K20" s="15"/>
      <c r="L20" s="3"/>
      <c r="M20" s="3"/>
      <c r="N20" s="3"/>
      <c r="O20" s="3"/>
      <c r="P20" s="3"/>
      <c r="Q20" s="3"/>
      <c r="R20" s="5"/>
      <c r="S20" s="12"/>
      <c r="T20" s="15"/>
      <c r="U20" s="3"/>
      <c r="V20" s="3"/>
      <c r="W20" s="3"/>
      <c r="X20" s="3"/>
      <c r="Y20" s="3"/>
      <c r="Z20" s="3"/>
      <c r="AA20" s="5"/>
    </row>
    <row r="21" spans="1:27" x14ac:dyDescent="0.3">
      <c r="A21" s="16"/>
      <c r="I21" s="8"/>
      <c r="J21" s="16"/>
      <c r="R21" s="8"/>
      <c r="S21" s="16"/>
      <c r="AA21" s="8"/>
    </row>
    <row r="22" spans="1:27" x14ac:dyDescent="0.3">
      <c r="A22" s="17"/>
      <c r="I22" s="8"/>
      <c r="J22" s="17"/>
      <c r="R22" s="8"/>
      <c r="S22" s="17"/>
      <c r="AA22" s="8"/>
    </row>
    <row r="23" spans="1:27" x14ac:dyDescent="0.3">
      <c r="A23" s="17"/>
      <c r="H23" s="109"/>
      <c r="I23" s="110"/>
      <c r="J23" s="17"/>
      <c r="Q23" s="109"/>
      <c r="R23" s="110"/>
      <c r="S23" s="17"/>
      <c r="Z23" s="109"/>
      <c r="AA23" s="110"/>
    </row>
    <row r="24" spans="1:27" x14ac:dyDescent="0.3">
      <c r="A24" s="17"/>
      <c r="F24" t="s">
        <v>80</v>
      </c>
      <c r="I24" s="8"/>
      <c r="J24" s="17"/>
      <c r="R24" s="8"/>
      <c r="S24" s="17"/>
      <c r="AA24" s="8"/>
    </row>
    <row r="25" spans="1:27" x14ac:dyDescent="0.3">
      <c r="A25" s="17"/>
      <c r="I25" s="8"/>
      <c r="J25" s="17"/>
      <c r="R25" s="8"/>
      <c r="S25" s="17"/>
      <c r="AA25" s="8"/>
    </row>
    <row r="26" spans="1:27" x14ac:dyDescent="0.3">
      <c r="A26" s="17"/>
      <c r="I26" s="8"/>
      <c r="J26" s="17"/>
      <c r="L26" t="s">
        <v>88</v>
      </c>
      <c r="R26" s="8"/>
      <c r="S26" s="17"/>
      <c r="AA26" s="8"/>
    </row>
    <row r="27" spans="1:27" x14ac:dyDescent="0.3">
      <c r="A27" s="17"/>
      <c r="I27" s="8"/>
      <c r="J27" s="17"/>
      <c r="R27" s="8"/>
      <c r="S27" s="17"/>
      <c r="AA27" s="8"/>
    </row>
    <row r="28" spans="1:27" x14ac:dyDescent="0.3">
      <c r="A28" s="17"/>
      <c r="I28" s="8"/>
      <c r="J28" s="17"/>
      <c r="R28" s="8"/>
      <c r="S28" s="17"/>
      <c r="AA28" s="8"/>
    </row>
    <row r="29" spans="1:27" x14ac:dyDescent="0.3">
      <c r="A29" s="17"/>
      <c r="I29" s="8"/>
      <c r="J29" s="17"/>
      <c r="R29" s="8"/>
      <c r="S29" s="17"/>
      <c r="AA29" s="8"/>
    </row>
    <row r="30" spans="1:27" x14ac:dyDescent="0.3">
      <c r="A30" s="17"/>
      <c r="F30" s="100">
        <f ca="1">TODAY()</f>
        <v>46113</v>
      </c>
      <c r="G30" s="101"/>
      <c r="H30" s="101"/>
      <c r="I30" s="102"/>
      <c r="J30" s="17"/>
      <c r="O30" s="100">
        <f ca="1">TODAY()</f>
        <v>46113</v>
      </c>
      <c r="P30" s="101"/>
      <c r="Q30" s="101"/>
      <c r="R30" s="102"/>
      <c r="S30" s="17"/>
      <c r="X30" s="101"/>
      <c r="Y30" s="101"/>
      <c r="Z30" s="101"/>
      <c r="AA30" s="102"/>
    </row>
    <row r="31" spans="1:27" x14ac:dyDescent="0.3">
      <c r="A31" s="17"/>
      <c r="F31" s="101" t="s">
        <v>9</v>
      </c>
      <c r="G31" s="101"/>
      <c r="H31" s="101"/>
      <c r="I31" s="102"/>
      <c r="J31" s="17"/>
      <c r="L31" t="s">
        <v>77</v>
      </c>
      <c r="N31" t="s">
        <v>77</v>
      </c>
      <c r="O31" s="101" t="s">
        <v>29</v>
      </c>
      <c r="P31" s="101"/>
      <c r="Q31" s="101"/>
      <c r="R31" s="102"/>
      <c r="S31" s="17"/>
      <c r="X31" s="101" t="s">
        <v>96</v>
      </c>
      <c r="Y31" s="101"/>
      <c r="Z31" s="101"/>
      <c r="AA31" s="102"/>
    </row>
    <row r="32" spans="1:27" x14ac:dyDescent="0.3">
      <c r="A32" s="17"/>
      <c r="F32" s="101" t="s">
        <v>10</v>
      </c>
      <c r="G32" s="101"/>
      <c r="H32" s="101"/>
      <c r="I32" s="102"/>
      <c r="J32" s="17"/>
      <c r="O32" s="101" t="s">
        <v>30</v>
      </c>
      <c r="P32" s="101"/>
      <c r="Q32" s="101"/>
      <c r="R32" s="102"/>
      <c r="S32" s="17"/>
      <c r="X32" s="101" t="s">
        <v>46</v>
      </c>
      <c r="Y32" s="101"/>
      <c r="Z32" s="101"/>
      <c r="AA32" s="102"/>
    </row>
    <row r="33" spans="1:27" x14ac:dyDescent="0.3">
      <c r="A33" s="17"/>
      <c r="F33" s="101"/>
      <c r="G33" s="101"/>
      <c r="H33" s="101"/>
      <c r="I33" s="102"/>
      <c r="J33" s="17"/>
      <c r="O33" s="101"/>
      <c r="P33" s="101"/>
      <c r="Q33" s="101"/>
      <c r="R33" s="102"/>
      <c r="S33" s="17"/>
      <c r="X33" s="101"/>
      <c r="Y33" s="101"/>
      <c r="Z33" s="101"/>
      <c r="AA33" s="102"/>
    </row>
    <row r="34" spans="1:27" x14ac:dyDescent="0.3">
      <c r="A34" s="17"/>
      <c r="I34" s="8"/>
      <c r="J34" s="17"/>
      <c r="R34" s="8"/>
      <c r="S34" s="17"/>
      <c r="AA34" s="8"/>
    </row>
    <row r="35" spans="1:27" x14ac:dyDescent="0.3">
      <c r="A35" s="17"/>
      <c r="I35" s="8"/>
      <c r="J35" s="17"/>
      <c r="R35" s="8"/>
      <c r="S35" s="17"/>
      <c r="AA35" s="8"/>
    </row>
    <row r="36" spans="1:27" x14ac:dyDescent="0.3">
      <c r="A36" s="17"/>
      <c r="I36" s="8"/>
      <c r="J36" s="17"/>
      <c r="R36" s="8"/>
      <c r="S36" s="17"/>
      <c r="X36" t="s">
        <v>80</v>
      </c>
      <c r="AA36" s="8"/>
    </row>
    <row r="37" spans="1:27" x14ac:dyDescent="0.3">
      <c r="A37" s="17"/>
      <c r="I37" s="8"/>
      <c r="J37" s="17"/>
      <c r="R37" s="8"/>
      <c r="S37" s="17"/>
      <c r="AA37" s="8"/>
    </row>
    <row r="38" spans="1:27" x14ac:dyDescent="0.3">
      <c r="A38" s="17"/>
      <c r="I38" s="8"/>
      <c r="J38" s="17"/>
      <c r="R38" s="8"/>
      <c r="S38" s="17"/>
      <c r="AA38" s="8"/>
    </row>
    <row r="39" spans="1:27" x14ac:dyDescent="0.3">
      <c r="A39" s="17"/>
      <c r="D39" t="s">
        <v>80</v>
      </c>
      <c r="I39" s="8"/>
      <c r="J39" s="17"/>
      <c r="R39" s="8"/>
      <c r="S39" s="17"/>
      <c r="AA39" s="8"/>
    </row>
    <row r="40" spans="1:27" x14ac:dyDescent="0.3">
      <c r="A40" s="17"/>
      <c r="I40" s="8"/>
      <c r="J40" s="17"/>
      <c r="R40" s="8"/>
      <c r="S40" s="17"/>
      <c r="AA40" s="8"/>
    </row>
    <row r="41" spans="1:27" x14ac:dyDescent="0.3">
      <c r="A41" s="17"/>
      <c r="I41" s="8"/>
      <c r="J41" s="17"/>
      <c r="R41" s="8"/>
      <c r="S41" s="17"/>
      <c r="AA41" s="8"/>
    </row>
    <row r="42" spans="1:27" ht="9.75" customHeight="1" x14ac:dyDescent="0.3">
      <c r="A42" s="14"/>
      <c r="B42" s="10"/>
      <c r="C42" s="10"/>
      <c r="D42" s="10"/>
      <c r="E42" s="10"/>
      <c r="F42" s="10"/>
      <c r="G42" s="10"/>
      <c r="H42" s="10"/>
      <c r="I42" s="11"/>
      <c r="J42" s="14"/>
      <c r="K42" s="10"/>
      <c r="L42" s="10"/>
      <c r="M42" s="10"/>
      <c r="N42" s="10"/>
      <c r="O42" s="10"/>
      <c r="P42" s="10"/>
      <c r="Q42" s="10"/>
      <c r="R42" s="11"/>
      <c r="S42" s="14"/>
      <c r="T42" s="10"/>
      <c r="U42" s="10"/>
      <c r="V42" s="10"/>
      <c r="W42" s="10"/>
      <c r="X42" s="10"/>
      <c r="Y42" s="10"/>
      <c r="Z42" s="10"/>
      <c r="AA42" s="11"/>
    </row>
    <row r="44" spans="1:27" x14ac:dyDescent="0.3">
      <c r="A44" s="18"/>
      <c r="B44" s="3"/>
      <c r="C44" s="3"/>
      <c r="D44" s="3"/>
      <c r="E44" s="3"/>
      <c r="F44" s="3"/>
      <c r="G44" s="3"/>
      <c r="H44" s="3"/>
      <c r="I44" s="5"/>
      <c r="J44" s="18"/>
      <c r="K44" s="3"/>
      <c r="L44" s="3"/>
      <c r="M44" s="3"/>
      <c r="N44" s="3"/>
      <c r="O44" s="3"/>
      <c r="P44" s="3"/>
      <c r="Q44" s="3"/>
      <c r="R44" s="5"/>
      <c r="S44" s="18"/>
      <c r="T44" s="3"/>
      <c r="U44" s="3"/>
      <c r="V44" s="3"/>
      <c r="W44" s="3"/>
      <c r="X44" s="3"/>
      <c r="Y44" s="3"/>
      <c r="Z44" s="3"/>
      <c r="AA44" s="5"/>
    </row>
    <row r="45" spans="1:27" x14ac:dyDescent="0.3">
      <c r="A45" s="16"/>
      <c r="I45" s="8"/>
      <c r="J45" s="16"/>
      <c r="R45" s="8"/>
      <c r="S45" s="16"/>
      <c r="AA45" s="8"/>
    </row>
    <row r="46" spans="1:27" x14ac:dyDescent="0.3">
      <c r="A46" s="16"/>
      <c r="I46" s="8"/>
      <c r="J46" s="16"/>
      <c r="R46" s="8"/>
      <c r="S46" s="16"/>
      <c r="AA46" s="8"/>
    </row>
    <row r="47" spans="1:27" x14ac:dyDescent="0.3">
      <c r="A47" s="19"/>
      <c r="B47" s="10"/>
      <c r="C47" s="10"/>
      <c r="D47" s="10"/>
      <c r="E47" s="10"/>
      <c r="F47" s="10"/>
      <c r="G47" s="10"/>
      <c r="H47" s="10"/>
      <c r="I47" s="11"/>
      <c r="J47" s="19"/>
      <c r="K47" s="10"/>
      <c r="L47" s="10"/>
      <c r="M47" s="10"/>
      <c r="N47" s="10"/>
      <c r="O47" s="10"/>
      <c r="P47" s="10"/>
      <c r="Q47" s="10"/>
      <c r="R47" s="11"/>
      <c r="S47" s="19"/>
      <c r="T47" s="10"/>
      <c r="U47" s="10"/>
      <c r="V47" s="10"/>
      <c r="W47" s="10"/>
      <c r="X47" s="10"/>
      <c r="Y47" s="10"/>
      <c r="Z47" s="10"/>
      <c r="AA47" s="11"/>
    </row>
    <row r="102" spans="9:9" x14ac:dyDescent="0.3">
      <c r="I102" t="s">
        <v>77</v>
      </c>
    </row>
  </sheetData>
  <mergeCells count="24">
    <mergeCell ref="X30:AA30"/>
    <mergeCell ref="X31:AA31"/>
    <mergeCell ref="X32:AA32"/>
    <mergeCell ref="X33:AA33"/>
    <mergeCell ref="S3:AA3"/>
    <mergeCell ref="S9:AA9"/>
    <mergeCell ref="Z23:AA23"/>
    <mergeCell ref="O31:R31"/>
    <mergeCell ref="O32:R32"/>
    <mergeCell ref="O33:R33"/>
    <mergeCell ref="J3:R3"/>
    <mergeCell ref="J9:R9"/>
    <mergeCell ref="Q23:R23"/>
    <mergeCell ref="O30:R30"/>
    <mergeCell ref="Q13:R13"/>
    <mergeCell ref="M13:N13"/>
    <mergeCell ref="F30:I30"/>
    <mergeCell ref="F31:I31"/>
    <mergeCell ref="F32:I32"/>
    <mergeCell ref="F33:I33"/>
    <mergeCell ref="A3:I3"/>
    <mergeCell ref="A9:I9"/>
    <mergeCell ref="H23:I23"/>
    <mergeCell ref="H13:I13"/>
  </mergeCells>
  <pageMargins left="1.04" right="0.25" top="0.75" bottom="0.75" header="0.3" footer="0.3"/>
  <pageSetup paperSize="9" scale="9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J29"/>
  <sheetViews>
    <sheetView showWhiteSpace="0" view="pageLayout" zoomScaleSheetLayoutView="115" workbookViewId="0">
      <selection activeCell="C20" sqref="C20"/>
    </sheetView>
  </sheetViews>
  <sheetFormatPr defaultRowHeight="14.4" x14ac:dyDescent="0.3"/>
  <cols>
    <col min="1" max="1" width="17.88671875" bestFit="1" customWidth="1"/>
    <col min="2" max="2" width="2.33203125" customWidth="1"/>
  </cols>
  <sheetData>
    <row r="2" spans="1:10" ht="15.6" x14ac:dyDescent="0.3">
      <c r="A2" s="67" t="s">
        <v>31</v>
      </c>
      <c r="B2" s="67"/>
      <c r="C2" s="67"/>
      <c r="D2" s="67"/>
      <c r="E2" s="67"/>
      <c r="F2" s="67"/>
      <c r="G2" s="67"/>
      <c r="H2" s="67"/>
      <c r="I2" s="67"/>
      <c r="J2" s="20"/>
    </row>
    <row r="3" spans="1:10" ht="15.6" x14ac:dyDescent="0.3">
      <c r="A3" s="68" t="s">
        <v>32</v>
      </c>
      <c r="B3" s="68"/>
      <c r="C3" s="68"/>
      <c r="D3" s="68"/>
      <c r="E3" s="68"/>
      <c r="F3" s="68"/>
      <c r="G3" s="68"/>
      <c r="H3" s="68"/>
      <c r="I3" s="68"/>
    </row>
    <row r="12" spans="1:10" x14ac:dyDescent="0.3">
      <c r="A12" s="69" t="s">
        <v>47</v>
      </c>
      <c r="B12" s="69"/>
      <c r="C12" s="69"/>
      <c r="H12" s="44" t="s">
        <v>51</v>
      </c>
    </row>
    <row r="13" spans="1:10" x14ac:dyDescent="0.3">
      <c r="H13" s="44" t="s">
        <v>52</v>
      </c>
    </row>
    <row r="14" spans="1:10" x14ac:dyDescent="0.3">
      <c r="B14" s="7"/>
      <c r="H14" s="45" t="s">
        <v>63</v>
      </c>
    </row>
    <row r="15" spans="1:10" x14ac:dyDescent="0.3">
      <c r="A15" t="s">
        <v>53</v>
      </c>
      <c r="B15" s="7" t="s">
        <v>12</v>
      </c>
      <c r="C15" s="7" t="str">
        <f>'ANA SAYFA'!C3</f>
        <v>Çanakkale</v>
      </c>
      <c r="H15" s="46" t="s">
        <v>11</v>
      </c>
    </row>
    <row r="16" spans="1:10" x14ac:dyDescent="0.3">
      <c r="A16" t="s">
        <v>54</v>
      </c>
      <c r="B16" s="7" t="s">
        <v>12</v>
      </c>
      <c r="C16" s="7" t="str">
        <f>'ANA SAYFA'!C4</f>
        <v>Bayramiç</v>
      </c>
    </row>
    <row r="17" spans="1:3" x14ac:dyDescent="0.3">
      <c r="A17" t="s">
        <v>55</v>
      </c>
      <c r="B17" s="7" t="s">
        <v>12</v>
      </c>
      <c r="C17" s="7" t="str">
        <f>'ANA SAYFA'!C5</f>
        <v>Camicedit</v>
      </c>
    </row>
    <row r="18" spans="1:3" x14ac:dyDescent="0.3">
      <c r="A18" t="s">
        <v>3</v>
      </c>
      <c r="B18" s="7" t="s">
        <v>12</v>
      </c>
      <c r="C18" s="7" t="str">
        <f>'ANA SAYFA'!C7</f>
        <v>-</v>
      </c>
    </row>
    <row r="19" spans="1:3" x14ac:dyDescent="0.3">
      <c r="A19" t="s">
        <v>4</v>
      </c>
      <c r="B19" s="7" t="s">
        <v>12</v>
      </c>
      <c r="C19" s="7">
        <f>'ANA SAYFA'!C9</f>
        <v>1</v>
      </c>
    </row>
    <row r="20" spans="1:3" x14ac:dyDescent="0.3">
      <c r="A20" t="s">
        <v>5</v>
      </c>
      <c r="B20" s="7" t="s">
        <v>12</v>
      </c>
      <c r="C20" s="7" t="e">
        <f>'ANA SAYFA'!#REF!</f>
        <v>#REF!</v>
      </c>
    </row>
    <row r="22" spans="1:3" x14ac:dyDescent="0.3">
      <c r="A22" s="64" t="s">
        <v>56</v>
      </c>
      <c r="B22" s="64"/>
      <c r="C22" s="64"/>
    </row>
    <row r="23" spans="1:3" x14ac:dyDescent="0.3">
      <c r="A23" s="43">
        <v>1</v>
      </c>
      <c r="B23" s="7" t="s">
        <v>60</v>
      </c>
      <c r="C23" t="s">
        <v>61</v>
      </c>
    </row>
    <row r="24" spans="1:3" x14ac:dyDescent="0.3">
      <c r="A24" s="43">
        <v>2</v>
      </c>
      <c r="B24" t="s">
        <v>60</v>
      </c>
      <c r="C24" t="s">
        <v>57</v>
      </c>
    </row>
    <row r="25" spans="1:3" x14ac:dyDescent="0.3">
      <c r="A25" s="43">
        <v>3</v>
      </c>
      <c r="B25" t="s">
        <v>60</v>
      </c>
      <c r="C25" t="s">
        <v>58</v>
      </c>
    </row>
    <row r="26" spans="1:3" x14ac:dyDescent="0.3">
      <c r="A26" s="43">
        <v>4</v>
      </c>
      <c r="B26" t="s">
        <v>60</v>
      </c>
      <c r="C26" t="s">
        <v>62</v>
      </c>
    </row>
    <row r="27" spans="1:3" x14ac:dyDescent="0.3">
      <c r="A27" s="43">
        <v>5</v>
      </c>
      <c r="B27" t="s">
        <v>60</v>
      </c>
      <c r="C27" t="s">
        <v>59</v>
      </c>
    </row>
    <row r="28" spans="1:3" x14ac:dyDescent="0.3">
      <c r="A28" s="43">
        <v>6</v>
      </c>
      <c r="B28" t="s">
        <v>60</v>
      </c>
      <c r="C28" t="s">
        <v>67</v>
      </c>
    </row>
    <row r="29" spans="1:3" x14ac:dyDescent="0.3">
      <c r="A29" s="43">
        <v>7</v>
      </c>
      <c r="B29" t="s">
        <v>60</v>
      </c>
      <c r="C29" t="s">
        <v>65</v>
      </c>
    </row>
  </sheetData>
  <mergeCells count="4">
    <mergeCell ref="A2:I2"/>
    <mergeCell ref="A3:I3"/>
    <mergeCell ref="A22:C22"/>
    <mergeCell ref="A12:C12"/>
  </mergeCells>
  <pageMargins left="0.7" right="0.7" top="2" bottom="0.75" header="0.3" footer="0.3"/>
  <pageSetup paperSize="9" scale="96" orientation="portrait" r:id="rId1"/>
  <colBreaks count="1" manualBreakCount="1">
    <brk id="9" min="1" max="19"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6"/>
  <sheetViews>
    <sheetView workbookViewId="0">
      <selection activeCell="F22" sqref="F22"/>
    </sheetView>
  </sheetViews>
  <sheetFormatPr defaultRowHeight="14.4" x14ac:dyDescent="0.3"/>
  <sheetData>
    <row r="1" spans="1:1" x14ac:dyDescent="0.3">
      <c r="A1" t="s">
        <v>25</v>
      </c>
    </row>
    <row r="2" spans="1:1" x14ac:dyDescent="0.3">
      <c r="A2" t="s">
        <v>70</v>
      </c>
    </row>
    <row r="3" spans="1:1" x14ac:dyDescent="0.3">
      <c r="A3" t="s">
        <v>68</v>
      </c>
    </row>
    <row r="4" spans="1:1" x14ac:dyDescent="0.3">
      <c r="A4" t="s">
        <v>45</v>
      </c>
    </row>
    <row r="5" spans="1:1" x14ac:dyDescent="0.3">
      <c r="A5" t="s">
        <v>71</v>
      </c>
    </row>
    <row r="6" spans="1:1" x14ac:dyDescent="0.3">
      <c r="A6" t="s">
        <v>40</v>
      </c>
    </row>
    <row r="7" spans="1:1" x14ac:dyDescent="0.3">
      <c r="A7" t="s">
        <v>37</v>
      </c>
    </row>
    <row r="8" spans="1:1" x14ac:dyDescent="0.3">
      <c r="A8" t="s">
        <v>43</v>
      </c>
    </row>
    <row r="9" spans="1:1" x14ac:dyDescent="0.3">
      <c r="A9" t="s">
        <v>69</v>
      </c>
    </row>
    <row r="10" spans="1:1" x14ac:dyDescent="0.3">
      <c r="A10" t="s">
        <v>44</v>
      </c>
    </row>
    <row r="11" spans="1:1" x14ac:dyDescent="0.3">
      <c r="A11" t="s">
        <v>79</v>
      </c>
    </row>
    <row r="12" spans="1:1" x14ac:dyDescent="0.3">
      <c r="A12" t="s">
        <v>42</v>
      </c>
    </row>
    <row r="13" spans="1:1" x14ac:dyDescent="0.3">
      <c r="A13" t="s">
        <v>41</v>
      </c>
    </row>
    <row r="14" spans="1:1" x14ac:dyDescent="0.3">
      <c r="A14" t="s">
        <v>97</v>
      </c>
    </row>
    <row r="15" spans="1:1" x14ac:dyDescent="0.3">
      <c r="A15" t="s">
        <v>39</v>
      </c>
    </row>
    <row r="16" spans="1:1" x14ac:dyDescent="0.3">
      <c r="A16" t="s">
        <v>98</v>
      </c>
    </row>
  </sheetData>
  <sortState xmlns:xlrd2="http://schemas.microsoft.com/office/spreadsheetml/2017/richdata2" ref="A2:A16">
    <sortCondition ref="A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6</vt:i4>
      </vt:variant>
      <vt:variant>
        <vt:lpstr>Adlandırılmış Aralıklar</vt:lpstr>
      </vt:variant>
      <vt:variant>
        <vt:i4>12</vt:i4>
      </vt:variant>
    </vt:vector>
  </HeadingPairs>
  <TitlesOfParts>
    <vt:vector size="18" baseType="lpstr">
      <vt:lpstr>ANA SAYFA</vt:lpstr>
      <vt:lpstr>ÖN ARKA KAPAK</vt:lpstr>
      <vt:lpstr>SD</vt:lpstr>
      <vt:lpstr>tahhütname</vt:lpstr>
      <vt:lpstr>Mal Sahibi</vt:lpstr>
      <vt:lpstr>Listeler</vt:lpstr>
      <vt:lpstr>'ANA SAYFA'!Ada</vt:lpstr>
      <vt:lpstr>idare</vt:lpstr>
      <vt:lpstr>idare1</vt:lpstr>
      <vt:lpstr>'ANA SAYFA'!İlçe</vt:lpstr>
      <vt:lpstr>'ANA SAYFA'!Mahalle</vt:lpstr>
      <vt:lpstr>'ANA SAYFA'!Mevkii</vt:lpstr>
      <vt:lpstr>'ANA SAYFA'!Pafta</vt:lpstr>
      <vt:lpstr>'ANA SAYFA'!Parsel</vt:lpstr>
      <vt:lpstr>'ANA SAYFA'!Sahibi</vt:lpstr>
      <vt:lpstr>'Mal Sahibi'!Yazdırma_Alanı</vt:lpstr>
      <vt:lpstr>tahhütname!Yazdırma_Alanı</vt:lpstr>
      <vt:lpstr>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Chris Green</cp:lastModifiedBy>
  <cp:lastPrinted>2026-04-01T14:19:22Z</cp:lastPrinted>
  <dcterms:created xsi:type="dcterms:W3CDTF">2012-10-06T08:15:47Z</dcterms:created>
  <dcterms:modified xsi:type="dcterms:W3CDTF">2026-04-01T14:31:11Z</dcterms:modified>
</cp:coreProperties>
</file>